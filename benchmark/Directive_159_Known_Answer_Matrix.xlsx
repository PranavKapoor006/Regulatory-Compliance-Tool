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cf9fd409e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9900ac36c0458f"/>
    <x:sheet xmlns:r="http://schemas.openxmlformats.org/officeDocument/2006/relationships" name="Gap Known Answer" sheetId="2" r:id="Redbcbc4049cc41fc"/>
    <x:sheet xmlns:r="http://schemas.openxmlformats.org/officeDocument/2006/relationships" name="Extraction QA" sheetId="3" r:id="Rf8edeb59779041d3"/>
    <x:sheet xmlns:r="http://schemas.openxmlformats.org/officeDocument/2006/relationships" name="Recommendation QA" sheetId="4" r:id="Rbaee1f3a7f26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4">
    <x:font>
      <x:sz val="11"/>
      <x:name val="Carlito"/>
    </x:font>
    <x:font>
      <x:b/>
      <x:sz val="16"/>
      <x:color rgb="FF111827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E600"/>
      </x:patternFill>
    </x:fill>
    <x:fill>
      <x:patternFill patternType="solid">
        <x:fgColor rgb="FF1F2937"/>
      </x:patternFill>
    </x:fill>
  </x:fills>
  <x:borders count="4">
    <x:border/>
    <x:border>
      <x:left style="thin">
        <x:color rgb="FF1F2937"/>
      </x:left>
      <x:top style="thin">
        <x:color rgb="FF1F2937"/>
      </x:top>
      <x:bottom style="thin">
        <x:color rgb="FF1F2937"/>
      </x:bottom>
    </x:border>
    <x:border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top style="thin">
        <x:color rgb="FF1F2937"/>
      </x:top>
      <x:bottom style="thin">
        <x:color rgb="FF1F293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72e09372a4f9c" /><Relationship Type="http://schemas.openxmlformats.org/officeDocument/2006/relationships/theme" Target="/xl/theme/theme1.xml" Id="R7e2c90e2f5664d87" /><Relationship Type="http://schemas.openxmlformats.org/officeDocument/2006/relationships/sharedStrings" Target="/xl/sharedStrings.xml" Id="Rfd7a87864fc24ded" /><Relationship Type="http://schemas.openxmlformats.org/officeDocument/2006/relationships/worksheet" Target="/xl/worksheets/sheet1.xml" Id="Rf59900ac36c0458f" /><Relationship Type="http://schemas.openxmlformats.org/officeDocument/2006/relationships/worksheet" Target="/xl/worksheets/sheet2.xml" Id="Redbcbc4049cc41fc" /><Relationship Type="http://schemas.openxmlformats.org/officeDocument/2006/relationships/worksheet" Target="/xl/worksheets/sheet3.xml" Id="Rf8edeb59779041d3" /><Relationship Type="http://schemas.openxmlformats.org/officeDocument/2006/relationships/worksheet" Target="/xl/worksheets/sheet4.xml" Id="Rbaee1f3a7f26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3" t="str">
        <x:v>Directive 159 Controlled Benchmark</x:v>
      </x:c>
      <x:c r="B1" s="3"/>
      <x:c r="C1" s="3"/>
      <x:c r="D1" s="3"/>
      <x:c r="E1" s="3"/>
      <x:c r="F1" s="3"/>
    </x:row>
    <x:row r="2">
      <x:c r="A2" s="5" t="str">
        <x:v>Known answers for the South African benchmark policy. Accuracy is measured against these controlled outcomes, not model confidence.</x:v>
      </x:c>
      <x:c r="B2" s="5"/>
      <x:c r="C2" s="5"/>
      <x:c r="D2" s="5"/>
      <x:c r="E2" s="5"/>
      <x:c r="F2" s="5"/>
    </x:row>
    <x:row r="4">
      <x:c r="A4" s="12" t="str">
        <x:v>Metric</x:v>
      </x:c>
      <x:c r="B4" s="13" t="str">
        <x:v>Value</x:v>
      </x:c>
      <x:c r="C4" s="18"/>
      <x:c r="D4" s="12" t="str">
        <x:v>Recommendation metric</x:v>
      </x:c>
      <x:c r="E4" s="13" t="str">
        <x:v>Value</x:v>
      </x:c>
      <x:c r="F4" s="18"/>
    </x:row>
    <x:row r="5">
      <x:c r="A5" s="18" t="str">
        <x:v>Benchmark obligations</x:v>
      </x:c>
      <x:c r="B5" s="18" t="n">
        <x:f>COUNTA('Gap Known Answer'!$A$2:$A$57)</x:f>
        <x:v>56</x:v>
      </x:c>
      <x:c r="C5" s="18"/>
      <x:c r="D5" s="18" t="str">
        <x:v>Recommendation packages</x:v>
      </x:c>
      <x:c r="E5" s="18" t="n">
        <x:v>66</x:v>
      </x:c>
      <x:c r="F5" s="18"/>
    </x:row>
    <x:row r="6">
      <x:c r="A6" s="18" t="str">
        <x:v>Expected completely covered</x:v>
      </x:c>
      <x:c r="B6" s="18" t="n">
        <x:f>COUNTIF('Gap Known Answer'!$B$2:$B$57,"Completely Covered")</x:f>
        <x:v>8</x:v>
      </x:c>
      <x:c r="C6" s="18"/>
      <x:c r="D6" s="18" t="str">
        <x:v>Package pass rule</x:v>
      </x:c>
      <x:c r="E6" s="18" t="str">
        <x:v>All field checks pass</x:v>
      </x:c>
      <x:c r="F6" s="18"/>
    </x:row>
    <x:row r="7">
      <x:c r="A7" s="18" t="str">
        <x:v>Expected partially covered</x:v>
      </x:c>
      <x:c r="B7" s="18" t="n">
        <x:f>COUNTIF('Gap Known Answer'!$B$2:$B$57,"Partially Covered")</x:f>
        <x:v>21</x:v>
      </x:c>
      <x:c r="C7" s="18"/>
      <x:c r="D7" s="18" t="str">
        <x:v>Scored fields</x:v>
      </x:c>
      <x:c r="E7" s="18" t="n">
        <x:v>8</x:v>
      </x:c>
      <x:c r="F7" s="18"/>
    </x:row>
    <x:row r="8">
      <x:c r="A8" s="18" t="str">
        <x:v>Expected completely missing</x:v>
      </x:c>
      <x:c r="B8" s="18" t="n">
        <x:f>COUNTIF('Gap Known Answer'!$B$2:$B$57,"Completely Missing")</x:f>
        <x:v>27</x:v>
      </x:c>
      <x:c r="C8" s="18"/>
      <x:c r="D8" s="18"/>
      <x:c r="E8" s="18"/>
      <x:c r="F8" s="18"/>
    </x:row>
    <x:row r="9">
      <x:c r="A9" s="18" t="str">
        <x:v>Mentor gap threshold</x:v>
      </x:c>
      <x:c r="B9" s="19" t="n">
        <x:v>70</x:v>
      </x:c>
      <x:c r="C9" s="18"/>
      <x:c r="D9" s="18"/>
      <x:c r="E9" s="18"/>
      <x:c r="F9" s="18"/>
    </x:row>
    <x:row r="10">
      <x:c r="A10" s="18" t="str">
        <x:v>Mentor obligation threshold</x:v>
      </x:c>
      <x:c r="B10" s="19" t="n">
        <x:v>80</x:v>
      </x:c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12" t="str">
        <x:v>Metric Definition</x:v>
      </x:c>
      <x:c r="B12" s="17" t="str">
        <x:v>Coverage status</x:v>
      </x:c>
      <x:c r="C12" s="17" t="str">
        <x:v>Evidence grounding</x:v>
      </x:c>
      <x:c r="D12" s="17" t="str">
        <x:v>Missing elements</x:v>
      </x:c>
      <x:c r="E12" s="17" t="str">
        <x:v>Recommendations</x:v>
      </x:c>
      <x:c r="F12" s="13" t="str">
        <x:v>Error controls</x:v>
      </x:c>
    </x:row>
    <x:row r="13">
      <x:c r="A13" s="18" t="str">
        <x:v>Scoring rule</x:v>
      </x:c>
      <x:c r="B13" s="18" t="str">
        <x:v>Exact expected status</x:v>
      </x:c>
      <x:c r="C13" s="18" t="str">
        <x:v>Expected page-grounded phrase or blank for missing</x:v>
      </x:c>
      <x:c r="D13" s="18" t="str">
        <x:v>Expected material gaps appear in output</x:v>
      </x:c>
      <x:c r="E13" s="18" t="str">
        <x:v>Complete owned action with expected content</x:v>
      </x:c>
      <x:c r="F13" s="18" t="str">
        <x:v>False-complete and false-missing rates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7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20" t="str">
        <x:v>Section</x:v>
      </x:c>
      <x:c r="B1" s="21" t="str">
        <x:v>Expected Status</x:v>
      </x:c>
      <x:c r="C1" s="21" t="str">
        <x:v>Expected Policy Evidence ID</x:v>
      </x:c>
      <x:c r="D1" s="21" t="str">
        <x:v>Expected Evidence Phrase</x:v>
      </x:c>
      <x:c r="E1" s="21" t="str">
        <x:v>Expected Missing Elements</x:v>
      </x:c>
      <x:c r="F1" s="21" t="str">
        <x:v>Recommendation Must Mention</x:v>
      </x:c>
      <x:c r="G1" s="22" t="str">
        <x:v>Known-Answer Rationale</x:v>
      </x:c>
    </x:row>
    <x:row r="2">
      <x:c r="A2" s="23" t="str">
        <x:v>3.2</x:v>
      </x:c>
      <x:c r="B2" s="23" t="str">
        <x:v>Completely Covered</x:v>
      </x:c>
      <x:c r="C2" s="23" t="str">
        <x:v>P-2.1</x:v>
      </x:c>
      <x:c r="D2" s="23" t="str">
        <x:v>all aspects of the insurer's insurance business;does not apply to intermediary services</x:v>
      </x:c>
      <x:c r="E2" s="23" t="str"/>
      <x:c r="F2" s="23" t="str"/>
      <x:c r="G2" s="23" t="str">
        <x:v>Scope is explicit for South African insurance outsourcing.</x:v>
      </x:c>
    </x:row>
    <x:row r="3">
      <x:c r="A3" s="23" t="str">
        <x:v>5.2.1</x:v>
      </x:c>
      <x:c r="B3" s="23" t="str">
        <x:v>Completely Covered</x:v>
      </x:c>
      <x:c r="C3" s="23" t="str">
        <x:v>P-4.1</x:v>
      </x:c>
      <x:c r="D3" s="23" t="str">
        <x:v>potential impact on policyholders;finances;reputation;insurance business operations</x:v>
      </x:c>
      <x:c r="E3" s="23" t="str"/>
      <x:c r="F3" s="23" t="str"/>
      <x:c r="G3" s="23" t="str">
        <x:v>Materiality assessment covers the full controlled impact test.</x:v>
      </x:c>
    </x:row>
    <x:row r="4">
      <x:c r="A4" s="23" t="str">
        <x:v>6.1</x:v>
      </x:c>
      <x:c r="B4" s="23" t="str">
        <x:v>Completely Covered</x:v>
      </x:c>
      <x:c r="C4" s="23" t="str">
        <x:v>P-3.1</x:v>
      </x:c>
      <x:c r="D4" s="23" t="str">
        <x:v>Board of Directors and managing executives;remain responsible</x:v>
      </x:c>
      <x:c r="E4" s="23" t="str"/>
      <x:c r="F4" s="23" t="str"/>
      <x:c r="G4" s="23" t="str">
        <x:v>Board and executive accountability is retained.</x:v>
      </x:c>
    </x:row>
    <x:row r="5">
      <x:c r="A5" s="23" t="str">
        <x:v>7.5.4</x:v>
      </x:c>
      <x:c r="B5" s="23" t="str">
        <x:v>Completely Covered</x:v>
      </x:c>
      <x:c r="C5" s="23" t="str">
        <x:v>P-5.1</x:v>
      </x:c>
      <x:c r="D5" s="23" t="str">
        <x:v>fit and proper;competence and integrity</x:v>
      </x:c>
      <x:c r="E5" s="23" t="str"/>
      <x:c r="F5" s="23" t="str"/>
      <x:c r="G5" s="23" t="str">
        <x:v>The due-diligence clause includes both competence and integrity.</x:v>
      </x:c>
    </x:row>
    <x:row r="6">
      <x:c r="A6" s="23" t="str">
        <x:v>7.7.11</x:v>
      </x:c>
      <x:c r="B6" s="23" t="str">
        <x:v>Completely Covered</x:v>
      </x:c>
      <x:c r="C6" s="23" t="str">
        <x:v>P-6.3</x:v>
      </x:c>
      <x:c r="D6" s="23" t="str">
        <x:v>confidentiality;privacy;security of information</x:v>
      </x:c>
      <x:c r="E6" s="23" t="str"/>
      <x:c r="F6" s="23" t="str"/>
      <x:c r="G6" s="23" t="str">
        <x:v>The written-contract clause covers all three information controls.</x:v>
      </x:c>
    </x:row>
    <x:row r="7">
      <x:c r="A7" s="23" t="str">
        <x:v>7.7.14</x:v>
      </x:c>
      <x:c r="B7" s="23" t="str">
        <x:v>Completely Covered</x:v>
      </x:c>
      <x:c r="C7" s="23" t="str">
        <x:v>P-6.4</x:v>
      </x:c>
      <x:c r="D7" s="23" t="str">
        <x:v>business-contingency processes;continuity of the outsourced function</x:v>
      </x:c>
      <x:c r="E7" s="23" t="str"/>
      <x:c r="F7" s="23" t="str"/>
      <x:c r="G7" s="23" t="str">
        <x:v>The written contract contains the required continuity events and response.</x:v>
      </x:c>
    </x:row>
    <x:row r="8">
      <x:c r="A8" s="23" t="str">
        <x:v>8.2</x:v>
      </x:c>
      <x:c r="B8" s="23" t="str">
        <x:v>Completely Covered</x:v>
      </x:c>
      <x:c r="C8" s="23" t="str">
        <x:v>P-7.2</x:v>
      </x:c>
      <x:c r="D8" s="23" t="str">
        <x:v>immediately notify the South African Registrar;material development</x:v>
      </x:c>
      <x:c r="E8" s="23" t="str"/>
      <x:c r="F8" s="23" t="str"/>
      <x:c r="G8" s="23" t="str">
        <x:v>The regulator, timing, event and contract context are explicit.</x:v>
      </x:c>
    </x:row>
    <x:row r="9">
      <x:c r="A9" s="23" t="str">
        <x:v>10</x:v>
      </x:c>
      <x:c r="B9" s="23" t="str">
        <x:v>Completely Covered</x:v>
      </x:c>
      <x:c r="C9" s="23" t="str">
        <x:v>P-9.1</x:v>
      </x:c>
      <x:c r="D9" s="23" t="str">
        <x:v>appointed auditors;statutory actuary</x:v>
      </x:c>
      <x:c r="E9" s="23" t="str"/>
      <x:c r="F9" s="23" t="str"/>
      <x:c r="G9" s="23" t="str">
        <x:v>Both required professional recipients are explicit.</x:v>
      </x:c>
    </x:row>
    <x:row r="10">
      <x:c r="A10" s="23" t="str">
        <x:v>1</x:v>
      </x:c>
      <x:c r="B10" s="23" t="str">
        <x:v>Partially Covered</x:v>
      </x:c>
      <x:c r="C10" s="23" t="str">
        <x:v>P-2.1</x:v>
      </x:c>
      <x:c r="D10" s="23" t="str">
        <x:v>South African operations;FSCA Directive 159;all aspects of the insurer's insurance business</x:v>
      </x:c>
      <x:c r="E10" s="23" t="str">
        <x:v>complete Directive 159 compliance for outsourcing</x:v>
      </x:c>
      <x:c r="F10" s="23" t="str">
        <x:v>requirements set out in this Directive</x:v>
      </x:c>
      <x:c r="G10" s="23" t="str">
        <x:v>The policy establishes Directive 159 scope but does not state that every outsourcing must comply with every Directive requirement.</x:v>
      </x:c>
    </x:row>
    <x:row r="11">
      <x:c r="A11" s="23" t="str">
        <x:v>3.1</x:v>
      </x:c>
      <x:c r="B11" s="23" t="str">
        <x:v>Partially Covered</x:v>
      </x:c>
      <x:c r="C11" s="23" t="str">
        <x:v>P-2.1</x:v>
      </x:c>
      <x:c r="D11" s="23" t="str">
        <x:v>South African operations;this policy applies</x:v>
      </x:c>
      <x:c r="E11" s="23" t="str">
        <x:v>applicability to all insurers including qualifying reinsurers</x:v>
      </x:c>
      <x:c r="F11" s="23" t="str">
        <x:v>all insurers;reinsurers</x:v>
      </x:c>
      <x:c r="G11" s="23" t="str">
        <x:v>The policy has South African outsourcing scope but does not establish applicability to all insurers including qualifying reinsurers.</x:v>
      </x:c>
    </x:row>
    <x:row r="12">
      <x:c r="A12" s="23" t="str">
        <x:v>3.3</x:v>
      </x:c>
      <x:c r="B12" s="23" t="str">
        <x:v>Partially Covered</x:v>
      </x:c>
      <x:c r="C12" s="23" t="str">
        <x:v>P-2.2</x:v>
      </x:c>
      <x:c r="D12" s="23" t="str">
        <x:v>related party;inter-related party</x:v>
      </x:c>
      <x:c r="E12" s="23" t="str">
        <x:v>provider location inside or outside South Africa</x:v>
      </x:c>
      <x:c r="F12" s="23" t="str">
        <x:v>outside South Africa</x:v>
      </x:c>
      <x:c r="G12" s="23" t="str">
        <x:v>Related-party scope is present, but geographic neutrality is omitted.</x:v>
      </x:c>
    </x:row>
    <x:row r="13">
      <x:c r="A13" s="23" t="str">
        <x:v>3.4.2</x:v>
      </x:c>
      <x:c r="B13" s="23" t="str">
        <x:v>Partially Covered</x:v>
      </x:c>
      <x:c r="C13" s="23" t="str">
        <x:v>P-2.1</x:v>
      </x:c>
      <x:c r="D13" s="23" t="str">
        <x:v>all aspects of the insurer's insurance business;South African operations</x:v>
      </x:c>
      <x:c r="E13" s="23" t="str">
        <x:v>subsidiary insurance-business outsourcing inside or outside South Africa</x:v>
      </x:c>
      <x:c r="F13" s="23" t="str">
        <x:v>subsidiary;inside or outside South Africa</x:v>
      </x:c>
      <x:c r="G13" s="23" t="str">
        <x:v>The policy has broad South African scope but does not address subsidiary business inside or outside South Africa.</x:v>
      </x:c>
    </x:row>
    <x:row r="14">
      <x:c r="A14" s="23" t="str">
        <x:v>3.7</x:v>
      </x:c>
      <x:c r="B14" s="23" t="str">
        <x:v>Partially Covered</x:v>
      </x:c>
      <x:c r="C14" s="23" t="str">
        <x:v>P-2.1</x:v>
      </x:c>
      <x:c r="D14" s="23" t="str">
        <x:v>FSCA Directive 159;South African operations;all aspects of the insurer's insurance business</x:v>
      </x:c>
      <x:c r="E14" s="23" t="str">
        <x:v>additional existing regulatory-framework compliance</x:v>
      </x:c>
      <x:c r="F14" s="23" t="str">
        <x:v>in addition;regulatory framework;specific regulatory requirements</x:v>
      </x:c>
      <x:c r="G14" s="23" t="str">
        <x:v>Directive 159 scope is present, but the additional existing-framework requirements are omitted.</x:v>
      </x:c>
    </x:row>
    <x:row r="15">
      <x:c r="A15" s="23" t="str">
        <x:v>5.2.2</x:v>
      </x:c>
      <x:c r="B15" s="23" t="str">
        <x:v>Partially Covered</x:v>
      </x:c>
      <x:c r="C15" s="23" t="str">
        <x:v>P-4.2</x:v>
      </x:c>
      <x:c r="D15" s="23" t="str">
        <x:v>maintain appropriate internal controls</x:v>
      </x:c>
      <x:c r="E15" s="23" t="str">
        <x:v>ability to meet regulatory requirements</x:v>
      </x:c>
      <x:c r="F15" s="23" t="str">
        <x:v>regulatory requirements</x:v>
      </x:c>
      <x:c r="G15" s="23" t="str">
        <x:v>Internal-control continuity is present, but regulatory compliance capability is absent.</x:v>
      </x:c>
    </x:row>
    <x:row r="16">
      <x:c r="A16" s="23" t="str">
        <x:v>5.2.3</x:v>
      </x:c>
      <x:c r="B16" s="23" t="str">
        <x:v>Partially Covered</x:v>
      </x:c>
      <x:c r="C16" s="23" t="str">
        <x:v>P-4.1</x:v>
      </x:c>
      <x:c r="D16" s="23" t="str">
        <x:v>determine whether the arrangement concerns a control, management or material function</x:v>
      </x:c>
      <x:c r="E16" s="23" t="str">
        <x:v>replacement difficulty, replacement time and in-house alternative</x:v>
      </x:c>
      <x:c r="F16" s="23" t="str">
        <x:v>difficulty;time;replace;in-house</x:v>
      </x:c>
      <x:c r="G16" s="23" t="str">
        <x:v>The materiality decision is controlled, but the replacement difficulty, time and in-house alternative are omitted.</x:v>
      </x:c>
    </x:row>
    <x:row r="17">
      <x:c r="A17" s="23" t="str">
        <x:v>7.2.3</x:v>
      </x:c>
      <x:c r="B17" s="23" t="str">
        <x:v>Partially Covered</x:v>
      </x:c>
      <x:c r="C17" s="23" t="str">
        <x:v>P-5.1</x:v>
      </x:c>
      <x:c r="D17" s="23" t="str">
        <x:v>Before outsourcing;assess</x:v>
      </x:c>
      <x:c r="E17" s="23" t="str">
        <x:v>guidance on contractual and other outsourcing risks</x:v>
      </x:c>
      <x:c r="F17" s="23" t="str">
        <x:v>contractual risks;assessed;monitored;managed</x:v>
      </x:c>
      <x:c r="G17" s="23" t="str">
        <x:v>The policy contains a limited pre-outsourcing assessment but not the required guidance across contractual and other risks.</x:v>
      </x:c>
    </x:row>
    <x:row r="18">
      <x:c r="A18" s="23" t="str">
        <x:v>7.5.1</x:v>
      </x:c>
      <x:c r="B18" s="23" t="str">
        <x:v>Partially Covered</x:v>
      </x:c>
      <x:c r="C18" s="23" t="str">
        <x:v>P-5.2</x:v>
      </x:c>
      <x:c r="D18" s="23" t="str">
        <x:v>Before outsourcing;assess</x:v>
      </x:c>
      <x:c r="E18" s="23" t="str">
        <x:v>cost-benefit and insurance-business risk assessment</x:v>
      </x:c>
      <x:c r="F18" s="23" t="str">
        <x:v>costs;benefits;risk to its insurance business</x:v>
      </x:c>
      <x:c r="G18" s="23" t="str">
        <x:v>A pre-outsourcing capability assessment exists, but the cost-benefit and insurance-business risk tests are absent.</x:v>
      </x:c>
    </x:row>
    <x:row r="19">
      <x:c r="A19" s="23" t="str">
        <x:v>7.5.2</x:v>
      </x:c>
      <x:c r="B19" s="23" t="str">
        <x:v>Partially Covered</x:v>
      </x:c>
      <x:c r="C19" s="23" t="str">
        <x:v>P-5.2</x:v>
      </x:c>
      <x:c r="D19" s="23" t="str">
        <x:v>Before outsourcing;service provider;assess</x:v>
      </x:c>
      <x:c r="E19" s="23" t="str">
        <x:v>objective procurement and provider-selection procedures</x:v>
      </x:c>
      <x:c r="F19" s="23" t="str">
        <x:v>objective;procurement;selection procedures</x:v>
      </x:c>
      <x:c r="G19" s="23" t="str">
        <x:v>Provider assessment exists, but objective procurement and selection controls are absent.</x:v>
      </x:c>
    </x:row>
    <x:row r="20">
      <x:c r="A20" s="23" t="str">
        <x:v>7.5.3</x:v>
      </x:c>
      <x:c r="B20" s="23" t="str">
        <x:v>Partially Covered</x:v>
      </x:c>
      <x:c r="C20" s="23" t="str">
        <x:v>P-5.2</x:v>
      </x:c>
      <x:c r="D20" s="23" t="str">
        <x:v>Before outsourcing;service provider;assess</x:v>
      </x:c>
      <x:c r="E20" s="23" t="str">
        <x:v>multiple-outsourcing and cross-insurer concentration assessment</x:v>
      </x:c>
      <x:c r="F20" s="23" t="str">
        <x:v>multiple outsourcing;number of insurers;concentration</x:v>
      </x:c>
      <x:c r="G20" s="23" t="str">
        <x:v>Provider assessment exists, but cumulative and cross-insurer concentration impacts are absent.</x:v>
      </x:c>
    </x:row>
    <x:row r="21">
      <x:c r="A21" s="23" t="str">
        <x:v>7.5.6</x:v>
      </x:c>
      <x:c r="B21" s="23" t="str">
        <x:v>Partially Covered</x:v>
      </x:c>
      <x:c r="C21" s="23" t="str">
        <x:v>P-5.2</x:v>
      </x:c>
      <x:c r="D21" s="23" t="str">
        <x:v>operational capability</x:v>
      </x:c>
      <x:c r="E21" s="23" t="str">
        <x:v>service-provider financial position;material risk to delivery capability</x:v>
      </x:c>
      <x:c r="F21" s="23" t="str">
        <x:v>financial position;material risk</x:v>
      </x:c>
      <x:c r="G21" s="23" t="str">
        <x:v>Operational capability is assessed without financial-position and material-risk tests.</x:v>
      </x:c>
    </x:row>
    <x:row r="22">
      <x:c r="A22" s="23" t="str">
        <x:v>7.5.5</x:v>
      </x:c>
      <x:c r="B22" s="23" t="str">
        <x:v>Partially Covered</x:v>
      </x:c>
      <x:c r="C22" s="23" t="str">
        <x:v>P-5.1</x:v>
      </x:c>
      <x:c r="D22" s="23" t="str">
        <x:v>Before outsourcing;assess</x:v>
      </x:c>
      <x:c r="E22" s="23" t="str">
        <x:v>provider governance, risk, controls and legal-compliance assessment</x:v>
      </x:c>
      <x:c r="F22" s="23" t="str">
        <x:v>governance;risk management;internal controls;applicable laws</x:v>
      </x:c>
      <x:c r="G22" s="23" t="str">
        <x:v>Provider due diligence exists, but it does not test the four clause-specific governance and compliance elements.</x:v>
      </x:c>
    </x:row>
    <x:row r="23">
      <x:c r="A23" s="23" t="str">
        <x:v>7.7.2</x:v>
      </x:c>
      <x:c r="B23" s="23" t="str">
        <x:v>Partially Covered</x:v>
      </x:c>
      <x:c r="C23" s="23" t="str">
        <x:v>P-6.1</x:v>
      </x:c>
      <x:c r="D23" s="23" t="str">
        <x:v>written outsourcing contract;type of function or activity</x:v>
      </x:c>
      <x:c r="E23" s="23" t="str">
        <x:v>contract specifies performance frequency</x:v>
      </x:c>
      <x:c r="F23" s="23" t="str">
        <x:v>frequency</x:v>
      </x:c>
      <x:c r="G23" s="23" t="str">
        <x:v>The contract identifies the function type but omits performance frequency.</x:v>
      </x:c>
    </x:row>
    <x:row r="24">
      <x:c r="A24" s="23" t="str">
        <x:v>7.7.3</x:v>
      </x:c>
      <x:c r="B24" s="23" t="str">
        <x:v>Partially Covered</x:v>
      </x:c>
      <x:c r="C24" s="23" t="str">
        <x:v>P-6.2</x:v>
      </x:c>
      <x:c r="D24" s="23" t="str">
        <x:v>written outsourcing contract;service level</x:v>
      </x:c>
      <x:c r="E24" s="23" t="str">
        <x:v>contract specifies service levels and standards;policyholder and insurer service recipients</x:v>
      </x:c>
      <x:c r="F24" s="23" t="str">
        <x:v>standard of service;policyholder</x:v>
      </x:c>
      <x:c r="G24" s="23" t="str">
        <x:v>The insurer service level is present, but standards and the policyholder recipient are omitted.</x:v>
      </x:c>
    </x:row>
    <x:row r="25">
      <x:c r="A25" s="23" t="str">
        <x:v>7.7.18</x:v>
      </x:c>
      <x:c r="B25" s="23" t="str">
        <x:v>Partially Covered</x:v>
      </x:c>
      <x:c r="C25" s="23" t="str">
        <x:v>P-6.5</x:v>
      </x:c>
      <x:c r="D25" s="23" t="str">
        <x:v>written outsourcing contract;insurance;contractual obligations</x:v>
      </x:c>
      <x:c r="E25" s="23" t="str">
        <x:v>contractual warranties or guarantees</x:v>
      </x:c>
      <x:c r="F25" s="23" t="str">
        <x:v>warranties;guarantees</x:v>
      </x:c>
      <x:c r="G25" s="23" t="str">
        <x:v>Insurance is required, but warranties and guarantees are omitted.</x:v>
      </x:c>
    </x:row>
    <x:row r="26">
      <x:c r="A26" s="23" t="str">
        <x:v>8.1.1</x:v>
      </x:c>
      <x:c r="B26" s="23" t="str">
        <x:v>Partially Covered</x:v>
      </x:c>
      <x:c r="C26" s="23" t="str">
        <x:v>P-7.1</x:v>
      </x:c>
      <x:c r="D26" s="23" t="str">
        <x:v>notify the South African Registrar;proposed outsourcing;before the outsourcing contract becomes effective</x:v>
      </x:c>
      <x:c r="E26" s="23" t="str">
        <x:v>specified timing or frequency</x:v>
      </x:c>
      <x:c r="F26" s="23" t="str">
        <x:v>one month</x:v>
      </x:c>
      <x:c r="G26" s="23" t="str">
        <x:v>External notification is present, but the one-month advance deadline is omitted.</x:v>
      </x:c>
    </x:row>
    <x:row r="27">
      <x:c r="A27" s="23" t="str">
        <x:v>8.1.2</x:v>
      </x:c>
      <x:c r="B27" s="23" t="str">
        <x:v>Partially Covered</x:v>
      </x:c>
      <x:c r="C27" s="23" t="str">
        <x:v>P-7.1</x:v>
      </x:c>
      <x:c r="D27" s="23" t="str">
        <x:v>notify the South African Registrar;before the outsourcing contract becomes effective</x:v>
      </x:c>
      <x:c r="E27" s="23" t="str">
        <x:v>specified timing or frequency;notification includes service-provider details</x:v>
      </x:c>
      <x:c r="F27" s="23" t="str">
        <x:v>one month;provider details</x:v>
      </x:c>
      <x:c r="G27" s="23" t="str">
        <x:v>The notification control is relevant, but it omits the exact one-month deadline and the service-provider details that must be reported.</x:v>
      </x:c>
    </x:row>
    <x:row r="28">
      <x:c r="A28" s="23" t="str">
        <x:v>8.1.3</x:v>
      </x:c>
      <x:c r="B28" s="23" t="str">
        <x:v>Partially Covered</x:v>
      </x:c>
      <x:c r="C28" s="23" t="str">
        <x:v>P-7.1</x:v>
      </x:c>
      <x:c r="D28" s="23" t="str">
        <x:v>notify the South African Registrar;before the outsourcing contract becomes effective</x:v>
      </x:c>
      <x:c r="E28" s="23" t="str">
        <x:v>specified timing or frequency;notification includes key risks and mitigation strategies</x:v>
      </x:c>
      <x:c r="F28" s="23" t="str">
        <x:v>one month;key risks;mitigation strategies</x:v>
      </x:c>
      <x:c r="G28" s="23" t="str">
        <x:v>The notification control is relevant, but it omits the exact one-month deadline, key risks and mitigation strategies.</x:v>
      </x:c>
    </x:row>
    <x:row r="29">
      <x:c r="A29" s="23" t="str">
        <x:v>9.1</x:v>
      </x:c>
      <x:c r="B29" s="23" t="str">
        <x:v>Partially Covered</x:v>
      </x:c>
      <x:c r="C29" s="23" t="str">
        <x:v>P-8.1</x:v>
      </x:c>
      <x:c r="D29" s="23" t="str">
        <x:v>outsourcing arrangement entered into before Directive 159 took effect;must comply</x:v>
      </x:c>
      <x:c r="E29" s="23" t="str">
        <x:v>post-effective-date outsourcing compliance</x:v>
      </x:c>
      <x:c r="F29" s="23" t="str">
        <x:v>on or after;takes effect</x:v>
      </x:c>
      <x:c r="G29" s="23" t="str">
        <x:v>The transition clause covers amended legacy arrangements, not all new outsourcing on or after the Directive's effective date.</x:v>
      </x:c>
    </x:row>
    <x:row r="30">
      <x:c r="A30" s="23" t="str">
        <x:v>9.2</x:v>
      </x:c>
      <x:c r="B30" s="23" t="str">
        <x:v>Partially Covered</x:v>
      </x:c>
      <x:c r="C30" s="23" t="str">
        <x:v>P-8.1</x:v>
      </x:c>
      <x:c r="D30" s="23" t="str">
        <x:v>extended;renewed;amended</x:v>
      </x:c>
      <x:c r="E30" s="23" t="str">
        <x:v>specified timing or frequency</x:v>
      </x:c>
      <x:c r="F30" s="23" t="str">
        <x:v>legacy-contract review;historical exception</x:v>
      </x:c>
      <x:c r="G30" s="23" t="str">
        <x:v>Trigger events are present, but the historical deadline and validation treatment are omitted.</x:v>
      </x:c>
    </x:row>
    <x:row r="31">
      <x:c r="A31" s="23" t="str">
        <x:v>3.6</x:v>
      </x:c>
      <x:c r="B31" s="23" t="str">
        <x:v>Completely Missing</x:v>
      </x:c>
      <x:c r="C31" s="23" t="str"/>
      <x:c r="D31" s="23" t="str"/>
      <x:c r="E31" s="23" t="str">
        <x:v>reinsurance scope</x:v>
      </x:c>
      <x:c r="F31" s="23" t="str">
        <x:v>reinsurer;reinsurance contract</x:v>
      </x:c>
      <x:c r="G31" s="23" t="str">
        <x:v>No controlled policy clause covers reinsurance outsourcing scope and its exception.</x:v>
      </x:c>
    </x:row>
    <x:row r="32">
      <x:c r="A32" s="23" t="str">
        <x:v>6.4.1</x:v>
      </x:c>
      <x:c r="B32" s="23" t="str">
        <x:v>Completely Missing</x:v>
      </x:c>
      <x:c r="C32" s="23" t="str"/>
      <x:c r="D32" s="23" t="str"/>
      <x:c r="E32" s="23" t="str">
        <x:v>reasonable and commensurate outsourcing remuneration</x:v>
      </x:c>
      <x:c r="F32" s="23" t="str">
        <x:v>remuneration;reasonable;commensurate</x:v>
      </x:c>
      <x:c r="G32" s="23" t="str">
        <x:v>No controlled policy clause regulates outsourcing remuneration.</x:v>
      </x:c>
    </x:row>
    <x:row r="33">
      <x:c r="A33" s="23" t="str">
        <x:v>6.2.1</x:v>
      </x:c>
      <x:c r="B33" s="23" t="str">
        <x:v>Completely Missing</x:v>
      </x:c>
      <x:c r="C33" s="23" t="str"/>
      <x:c r="D33" s="23" t="str"/>
      <x:c r="E33" s="23" t="str">
        <x:v>prohibition on outsourcing that materially increases insurer risk</x:v>
      </x:c>
      <x:c r="F33" s="23" t="str">
        <x:v>must not outsource;materially increase risk</x:v>
      </x:c>
      <x:c r="G33" s="23" t="str">
        <x:v>The benchmark notice is not a policy control prohibiting risk-increasing outsourcing.</x:v>
      </x:c>
    </x:row>
    <x:row r="34">
      <x:c r="A34" s="23" t="str">
        <x:v>6.2.4</x:v>
      </x:c>
      <x:c r="B34" s="23" t="str">
        <x:v>Completely Missing</x:v>
      </x:c>
      <x:c r="C34" s="23" t="str"/>
      <x:c r="D34" s="23" t="str"/>
      <x:c r="E34" s="23" t="str">
        <x:v>prohibition protecting fair treatment and continuous satisfactory service</x:v>
      </x:c>
      <x:c r="F34" s="23" t="str">
        <x:v>fair treatment;continuous;satisfactory service</x:v>
      </x:c>
      <x:c r="G34" s="23" t="str">
        <x:v>No controlled policy clause prohibits outsourcing that compromises policyholder treatment or service.</x:v>
      </x:c>
    </x:row>
    <x:row r="35">
      <x:c r="A35" s="23" t="str">
        <x:v>6.2.3</x:v>
      </x:c>
      <x:c r="B35" s="23" t="str">
        <x:v>Completely Missing</x:v>
      </x:c>
      <x:c r="C35" s="23" t="str"/>
      <x:c r="D35" s="23" t="str"/>
      <x:c r="E35" s="23" t="str">
        <x:v>prohibition on impairing regulatory monitoring</x:v>
      </x:c>
      <x:c r="F35" s="23" t="str">
        <x:v>must not outsource;Registrar;monitor;regulatory obligations</x:v>
      </x:c>
      <x:c r="G35" s="23" t="str">
        <x:v>The benchmark disclaimer and generic due-diligence controls are not operative prohibitions protecting the Registrar's monitoring ability.</x:v>
      </x:c>
    </x:row>
    <x:row r="36">
      <x:c r="A36" s="23" t="str">
        <x:v>6.3</x:v>
      </x:c>
      <x:c r="B36" s="23" t="str">
        <x:v>Completely Missing</x:v>
      </x:c>
      <x:c r="C36" s="23" t="str"/>
      <x:c r="D36" s="23" t="str"/>
      <x:c r="E36" s="23" t="str">
        <x:v>conflict avoidance or mitigation across all affected interests</x:v>
      </x:c>
      <x:c r="F36" s="23" t="str">
        <x:v>conflicts of interest;avoid;mitigate;policyholders;other person</x:v>
      </x:c>
      <x:c r="G36" s="23" t="str">
        <x:v>The materiality assessment mentions policyholders but contains no conflict-of-interest control.</x:v>
      </x:c>
    </x:row>
    <x:row r="37">
      <x:c r="A37" s="23" t="str">
        <x:v>6.4.2</x:v>
      </x:c>
      <x:c r="B37" s="23" t="str">
        <x:v>Completely Missing</x:v>
      </x:c>
      <x:c r="C37" s="23" t="str"/>
      <x:c r="D37" s="23" t="str"/>
      <x:c r="E37" s="23" t="str">
        <x:v>prohibition on duplicate commission or binder-fee remuneration</x:v>
      </x:c>
      <x:c r="F37" s="23" t="str">
        <x:v>commission;binder fee;again</x:v>
      </x:c>
      <x:c r="G37" s="23" t="str">
        <x:v>No controlled policy clause prohibits duplicate remuneration.</x:v>
      </x:c>
    </x:row>
    <x:row r="38">
      <x:c r="A38" s="23" t="str">
        <x:v>6.4.3</x:v>
      </x:c>
      <x:c r="B38" s="23" t="str">
        <x:v>Completely Missing</x:v>
      </x:c>
      <x:c r="C38" s="23" t="str"/>
      <x:c r="D38" s="23" t="str"/>
      <x:c r="E38" s="23" t="str">
        <x:v>remuneration must not increase unfair-treatment risk</x:v>
      </x:c>
      <x:c r="F38" s="23" t="str">
        <x:v>remuneration;unfair treatment;policyholders</x:v>
      </x:c>
      <x:c r="G38" s="23" t="str">
        <x:v>No controlled policy clause addresses remuneration-driven unfair-treatment risk.</x:v>
      </x:c>
    </x:row>
    <x:row r="39">
      <x:c r="A39" s="23" t="str">
        <x:v>6.4.4</x:v>
      </x:c>
      <x:c r="B39" s="23" t="str">
        <x:v>Completely Missing</x:v>
      </x:c>
      <x:c r="C39" s="23" t="str"/>
      <x:c r="D39" s="23" t="str"/>
      <x:c r="E39" s="23" t="str">
        <x:v>remuneration not linked to insurance-claim outcomes</x:v>
      </x:c>
      <x:c r="F39" s="23" t="str">
        <x:v>remuneration;insurance claims</x:v>
      </x:c>
      <x:c r="G39" s="23" t="str">
        <x:v>No controlled policy clause prohibits claim-outcome-linked remuneration.</x:v>
      </x:c>
    </x:row>
    <x:row r="40">
      <x:c r="A40" s="23" t="str">
        <x:v>6.5</x:v>
      </x:c>
      <x:c r="B40" s="23" t="str">
        <x:v>Completely Missing</x:v>
      </x:c>
      <x:c r="C40" s="23" t="str"/>
      <x:c r="D40" s="23" t="str"/>
      <x:c r="E40" s="23" t="str">
        <x:v>paragraph 6 principles applied to authorised sub-outsourcing</x:v>
      </x:c>
      <x:c r="F40" s="23" t="str">
        <x:v>sub-outsourcing;6.1 to 6.4;authoris</x:v>
      </x:c>
      <x:c r="G40" s="23" t="str">
        <x:v>Broad outsourcing scope does not apply the paragraph 6 principles to authorised sub-outsourcing.</x:v>
      </x:c>
    </x:row>
    <x:row r="41">
      <x:c r="A41" s="23" t="str">
        <x:v>7.4</x:v>
      </x:c>
      <x:c r="B41" s="23" t="str">
        <x:v>Completely Missing</x:v>
      </x:c>
      <x:c r="C41" s="23" t="str"/>
      <x:c r="D41" s="23" t="str"/>
      <x:c r="E41" s="23" t="str">
        <x:v>affected business units and staff awareness and compliance</x:v>
      </x:c>
      <x:c r="F41" s="23" t="str">
        <x:v>business units;staff;aware;comply</x:v>
      </x:c>
      <x:c r="G41" s="23" t="str">
        <x:v>No controlled policy clause requires staff and business-unit awareness and compliance.</x:v>
      </x:c>
    </x:row>
    <x:row r="42">
      <x:c r="A42" s="23" t="str">
        <x:v>7.2.4</x:v>
      </x:c>
      <x:c r="B42" s="23" t="str">
        <x:v>Completely Missing</x:v>
      </x:c>
      <x:c r="C42" s="23" t="str"/>
      <x:c r="D42" s="23" t="str"/>
      <x:c r="E42" s="23" t="str">
        <x:v>internal review and approval before material outsourcing</x:v>
      </x:c>
      <x:c r="F42" s="23" t="str">
        <x:v>internal review;approval;control, management or material function</x:v>
      </x:c>
      <x:c r="G42" s="23" t="str">
        <x:v>The benchmark disclaimer is not an internal review and approval control.</x:v>
      </x:c>
    </x:row>
    <x:row r="43">
      <x:c r="A43" s="23" t="str">
        <x:v>7.5.8</x:v>
      </x:c>
      <x:c r="B43" s="23" t="str">
        <x:v>Completely Missing</x:v>
      </x:c>
      <x:c r="C43" s="23" t="str"/>
      <x:c r="D43" s="23" t="str"/>
      <x:c r="E43" s="23" t="str">
        <x:v>pre-outsourcing contingency plan for termination or ineffectiveness</x:v>
      </x:c>
      <x:c r="F43" s="23" t="str">
        <x:v>contingency plan;continuous functioning;terminated or ineffective</x:v>
      </x:c>
      <x:c r="G43" s="23" t="str">
        <x:v>Fit-and-proper due diligence is unrelated to contingency and exit planning.</x:v>
      </x:c>
    </x:row>
    <x:row r="44">
      <x:c r="A44" s="23" t="str">
        <x:v>7.5.9</x:v>
      </x:c>
      <x:c r="B44" s="23" t="str">
        <x:v>Completely Missing</x:v>
      </x:c>
      <x:c r="C44" s="23" t="str"/>
      <x:c r="D44" s="23" t="str"/>
      <x:c r="E44" s="23" t="str">
        <x:v>documented approval before outsourcing</x:v>
      </x:c>
      <x:c r="F44" s="23" t="str">
        <x:v>before outsourcing;approvals;outsourcing policy</x:v>
      </x:c>
      <x:c r="G44" s="23" t="str">
        <x:v>No controlled policy clause records the approvals required before outsourcing.</x:v>
      </x:c>
    </x:row>
    <x:row r="45">
      <x:c r="A45" s="23" t="str">
        <x:v>7.7.1</x:v>
      </x:c>
      <x:c r="B45" s="23" t="str">
        <x:v>Completely Missing</x:v>
      </x:c>
      <x:c r="C45" s="23" t="str"/>
      <x:c r="D45" s="23" t="str"/>
      <x:c r="E45" s="23" t="str">
        <x:v>contract duration</x:v>
      </x:c>
      <x:c r="F45" s="23" t="str">
        <x:v>contract duration</x:v>
      </x:c>
      <x:c r="G45" s="23" t="str">
        <x:v>The controlled contract specifies a function type, not the duration of the contract.</x:v>
      </x:c>
    </x:row>
    <x:row r="46">
      <x:c r="A46" s="23" t="str">
        <x:v>7.7.4</x:v>
      </x:c>
      <x:c r="B46" s="23" t="str">
        <x:v>Completely Missing</x:v>
      </x:c>
      <x:c r="C46" s="23" t="str"/>
      <x:c r="D46" s="23" t="str"/>
      <x:c r="E46" s="23" t="str">
        <x:v>contract requires provider governance, risk management and controls</x:v>
      </x:c>
      <x:c r="F46" s="23" t="str">
        <x:v>governance;risk management;internal controls</x:v>
      </x:c>
      <x:c r="G46" s="23" t="str">
        <x:v>The controlled contract's contingency clause is unrelated to provider governance and controls.</x:v>
      </x:c>
    </x:row>
    <x:row r="47">
      <x:c r="A47" s="23" t="str">
        <x:v>7.7.5</x:v>
      </x:c>
      <x:c r="B47" s="23" t="str">
        <x:v>Completely Missing</x:v>
      </x:c>
      <x:c r="C47" s="23" t="str"/>
      <x:c r="D47" s="23" t="str"/>
      <x:c r="E47" s="23" t="str">
        <x:v>contract requires provider compliance with applicable laws</x:v>
      </x:c>
      <x:c r="F47" s="23" t="str">
        <x:v>applicable laws</x:v>
      </x:c>
      <x:c r="G47" s="23" t="str">
        <x:v>No controlled contract clause requires the service provider to comply with applicable laws.</x:v>
      </x:c>
    </x:row>
    <x:row r="48">
      <x:c r="A48" s="23" t="str">
        <x:v>7.7.7</x:v>
      </x:c>
      <x:c r="B48" s="23" t="str">
        <x:v>Completely Missing</x:v>
      </x:c>
      <x:c r="C48" s="23" t="str"/>
      <x:c r="D48" s="23" t="str"/>
      <x:c r="E48" s="23" t="str">
        <x:v>contract specifies reporting type and frequency</x:v>
      </x:c>
      <x:c r="F48" s="23" t="str">
        <x:v>reporting;type;frequency</x:v>
      </x:c>
      <x:c r="G48" s="23" t="str">
        <x:v>The controlled contract identifies the outsourced function but contains no reporting type or frequency requirement.</x:v>
      </x:c>
    </x:row>
    <x:row r="49">
      <x:c r="A49" s="23" t="str">
        <x:v>7.7.8</x:v>
      </x:c>
      <x:c r="B49" s="23" t="str">
        <x:v>Completely Missing</x:v>
      </x:c>
      <x:c r="C49" s="23" t="str"/>
      <x:c r="D49" s="23" t="str"/>
      <x:c r="E49" s="23" t="str">
        <x:v>contractual performance and compliance monitoring method</x:v>
      </x:c>
      <x:c r="F49" s="23" t="str">
        <x:v>monitor;performance;compliance;manner;means</x:v>
      </x:c>
      <x:c r="G49" s="23" t="str">
        <x:v>Business-continuity wording does not establish contractual performance and compliance monitoring.</x:v>
      </x:c>
    </x:row>
    <x:row r="50">
      <x:c r="A50" s="23" t="str">
        <x:v>7.7.10</x:v>
      </x:c>
      <x:c r="B50" s="23" t="str">
        <x:v>Completely Missing</x:v>
      </x:c>
      <x:c r="C50" s="23" t="str"/>
      <x:c r="D50" s="23" t="str"/>
      <x:c r="E50" s="23" t="str">
        <x:v>audit, inspection or access rights;written outsourcing contract</x:v>
      </x:c>
      <x:c r="F50" s="23" t="str">
        <x:v>continued access;information</x:v>
      </x:c>
      <x:c r="G50" s="23" t="str">
        <x:v>No controlled contract clause preserves continuing information access.</x:v>
      </x:c>
    </x:row>
    <x:row r="51">
      <x:c r="A51" s="23" t="str">
        <x:v>7.7.12</x:v>
      </x:c>
      <x:c r="B51" s="23" t="str">
        <x:v>Completely Missing</x:v>
      </x:c>
      <x:c r="C51" s="23" t="str"/>
      <x:c r="D51" s="23" t="str"/>
      <x:c r="E51" s="23" t="str">
        <x:v>contract addresses sub-outsourcing</x:v>
      </x:c>
      <x:c r="F51" s="23" t="str">
        <x:v>sub-outsourcing</x:v>
      </x:c>
      <x:c r="G51" s="23" t="str">
        <x:v>The confidentiality and privacy clause does not address sub-outsourcing.</x:v>
      </x:c>
    </x:row>
    <x:row r="52">
      <x:c r="A52" s="23" t="str">
        <x:v>7.7.13</x:v>
      </x:c>
      <x:c r="B52" s="23" t="str">
        <x:v>Completely Missing</x:v>
      </x:c>
      <x:c r="C52" s="23" t="str"/>
      <x:c r="D52" s="23" t="str"/>
      <x:c r="E52" s="23" t="str">
        <x:v>contract addresses intellectual-property ownership</x:v>
      </x:c>
      <x:c r="F52" s="23" t="str">
        <x:v>intellectual property</x:v>
      </x:c>
      <x:c r="G52" s="23" t="str">
        <x:v>No controlled contract clause addresses intellectual-property ownership.</x:v>
      </x:c>
    </x:row>
    <x:row r="53">
      <x:c r="A53" s="23" t="str">
        <x:v>7.7.16</x:v>
      </x:c>
      <x:c r="B53" s="23" t="str">
        <x:v>Completely Missing</x:v>
      </x:c>
      <x:c r="C53" s="23" t="str"/>
      <x:c r="D53" s="23" t="str"/>
      <x:c r="E53" s="23" t="str">
        <x:v>termination and exit requirements</x:v>
      </x:c>
      <x:c r="F53" s="23" t="str">
        <x:v>terminate;circumstances</x:v>
      </x:c>
      <x:c r="G53" s="23" t="str">
        <x:v>No controlled contract clause specifies termination circumstances.</x:v>
      </x:c>
    </x:row>
    <x:row r="54">
      <x:c r="A54" s="23" t="str">
        <x:v>7.7.17</x:v>
      </x:c>
      <x:c r="B54" s="23" t="str">
        <x:v>Completely Missing</x:v>
      </x:c>
      <x:c r="C54" s="23" t="str"/>
      <x:c r="D54" s="23" t="str"/>
      <x:c r="E54" s="23" t="str">
        <x:v>contractual indemnity and liability provisions</x:v>
      </x:c>
      <x:c r="F54" s="23" t="str">
        <x:v>indemnity;liability</x:v>
      </x:c>
      <x:c r="G54" s="23" t="str">
        <x:v>No controlled contract clause contains indemnity and liability provisions.</x:v>
      </x:c>
    </x:row>
    <x:row r="55">
      <x:c r="A55" s="23" t="str">
        <x:v>7.7.19</x:v>
      </x:c>
      <x:c r="B55" s="23" t="str">
        <x:v>Completely Missing</x:v>
      </x:c>
      <x:c r="C55" s="23" t="str"/>
      <x:c r="D55" s="23" t="str"/>
      <x:c r="E55" s="23" t="str">
        <x:v>contract provides a dispute-resolution process</x:v>
      </x:c>
      <x:c r="F55" s="23" t="str">
        <x:v>dispute resolution</x:v>
      </x:c>
      <x:c r="G55" s="23" t="str">
        <x:v>No controlled contract clause provides a dispute-resolution process.</x:v>
      </x:c>
    </x:row>
    <x:row r="56">
      <x:c r="A56" s="23" t="str">
        <x:v>7.8</x:v>
      </x:c>
      <x:c r="B56" s="23" t="str">
        <x:v>Completely Missing</x:v>
      </x:c>
      <x:c r="C56" s="23" t="str"/>
      <x:c r="D56" s="23" t="str"/>
      <x:c r="E56" s="23" t="str">
        <x:v>sub-outsourcing compliance with Directive 159 sections 7.6 and 7.7</x:v>
      </x:c>
      <x:c r="F56" s="23" t="str">
        <x:v>sub-outsourcing;FSCA Directive 159;7.6;7.7</x:v>
      </x:c>
      <x:c r="G56" s="23" t="str">
        <x:v>No controlled clause requires permitted sub-outsourcing to comply with sections 7.6 and 7.7.</x:v>
      </x:c>
    </x:row>
    <x:row r="57">
      <x:c r="A57" s="23" t="str">
        <x:v>7.11.2</x:v>
      </x:c>
      <x:c r="B57" s="23" t="str">
        <x:v>Completely Missing</x:v>
      </x:c>
      <x:c r="C57" s="23" t="str"/>
      <x:c r="D57" s="23" t="str"/>
      <x:c r="E57" s="23" t="str">
        <x:v>regular assessment of provider compliance with applicable laws</x:v>
      </x:c>
      <x:c r="F57" s="23" t="str">
        <x:v>regularly assess;applicable laws</x:v>
      </x:c>
      <x:c r="G57" s="23" t="str">
        <x:v>Operational-capability due diligence does not establish assessment of legal compliance.</x:v>
      </x:c>
    </x:row>
  </x:sheetData>
  <x:conditionalFormatting sqref="B2:B57">
    <x:cfRule type="containsText" dxfId="0" priority="1" operator="containsText" text="Completely Covered"/>
    <x:cfRule type="containsText" dxfId="1" priority="2" operator="containsText" text="Partially Covered"/>
    <x:cfRule type="containsText" dxfId="2" priority="3" operator="containsText" text="Completely Miss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40" hidden="0" customWidth="1"/>
    <x:col min="6" max="6" width="40" hidden="0" customWidth="1"/>
  </x:cols>
  <x:sheetData>
    <x:row r="1">
      <x:c r="A1" s="20" t="str">
        <x:v>Section</x:v>
      </x:c>
      <x:c r="B1" s="21" t="str">
        <x:v>Check Type</x:v>
      </x:c>
      <x:c r="C1" s="21" t="str">
        <x:v>Expected Actionable</x:v>
      </x:c>
      <x:c r="D1" s="21" t="str">
        <x:v>Required Clean Phrase</x:v>
      </x:c>
      <x:c r="E1" s="21" t="str">
        <x:v>Forbidden OCR Pattern</x:v>
      </x:c>
      <x:c r="F1" s="22" t="str">
        <x:v>Rationale</x:v>
      </x:c>
    </x:row>
    <x:row r="2">
      <x:c r="A2" s="23" t="str">
        <x:v>4.1</x:v>
      </x:c>
      <x:c r="B2" s="23" t="str">
        <x:v>Actionable</x:v>
      </x:c>
      <x:c r="C2" s="23" t="str">
        <x:v>No</x:v>
      </x:c>
      <x:c r="D2" s="23" t="str"/>
      <x:c r="E2" s="23" t="str"/>
      <x:c r="F2" s="23" t="str">
        <x:v>Registrar power must remain contextual rather than becoming an insurer duty.</x:v>
      </x:c>
    </x:row>
    <x:row r="3">
      <x:c r="A3" s="23" t="str">
        <x:v>4.2</x:v>
      </x:c>
      <x:c r="B3" s="23" t="str">
        <x:v>Actionable</x:v>
      </x:c>
      <x:c r="C3" s="23" t="str">
        <x:v>No</x:v>
      </x:c>
      <x:c r="D3" s="23" t="str"/>
      <x:c r="E3" s="23" t="str"/>
      <x:c r="F3" s="23" t="str">
        <x:v>Registrar power must remain contextual rather than becoming an insurer duty.</x:v>
      </x:c>
    </x:row>
    <x:row r="4">
      <x:c r="A4" s="23" t="str">
        <x:v>3.5</x:v>
      </x:c>
      <x:c r="B4" s="23" t="str">
        <x:v>Actionable</x:v>
      </x:c>
      <x:c r="C4" s="23" t="str">
        <x:v>No</x:v>
      </x:c>
      <x:c r="D4" s="23" t="str"/>
      <x:c r="E4" s="23" t="str"/>
      <x:c r="F4" s="23" t="str">
        <x:v>Scope exclusion must not become a positive insurer obligation.</x:v>
      </x:c>
    </x:row>
    <x:row r="5">
      <x:c r="A5" s="23" t="str">
        <x:v>5.2</x:v>
      </x:c>
      <x:c r="B5" s="23" t="str">
        <x:v>Actionable</x:v>
      </x:c>
      <x:c r="C5" s="23" t="str">
        <x:v>No</x:v>
      </x:c>
      <x:c r="D5" s="23" t="str"/>
      <x:c r="E5" s="23" t="str"/>
      <x:c r="F5" s="23" t="str">
        <x:v>Parent stem must remain structural; child clauses carry the duties.</x:v>
      </x:c>
    </x:row>
    <x:row r="6">
      <x:c r="A6" s="23" t="str">
        <x:v>7.7</x:v>
      </x:c>
      <x:c r="B6" s="23" t="str">
        <x:v>Actionable</x:v>
      </x:c>
      <x:c r="C6" s="23" t="str">
        <x:v>No</x:v>
      </x:c>
      <x:c r="D6" s="23" t="str"/>
      <x:c r="E6" s="23" t="str"/>
      <x:c r="F6" s="23" t="str">
        <x:v>Written-contract parent stem must not duplicate child obligations.</x:v>
      </x:c>
    </x:row>
    <x:row r="7">
      <x:c r="A7" s="23" t="str">
        <x:v>8.1</x:v>
      </x:c>
      <x:c r="B7" s="23" t="str">
        <x:v>Actionable</x:v>
      </x:c>
      <x:c r="C7" s="23" t="str">
        <x:v>No</x:v>
      </x:c>
      <x:c r="D7" s="23" t="str"/>
      <x:c r="E7" s="23" t="str"/>
      <x:c r="F7" s="23" t="str">
        <x:v>Notification parent stem must not duplicate child obligations.</x:v>
      </x:c>
    </x:row>
    <x:row r="8">
      <x:c r="A8" s="23" t="str">
        <x:v>5.2.2</x:v>
      </x:c>
      <x:c r="B8" s="23" t="str">
        <x:v>Text Cleanliness</x:v>
      </x:c>
      <x:c r="C8" s="23" t="str">
        <x:v>Yes</x:v>
      </x:c>
      <x:c r="D8" s="23" t="str">
        <x:v>meet regulatory requirements</x:v>
      </x:c>
      <x:c r="E8" s="23" t="str">
        <x:v>pecyeal|Sarees|Sheseee|Ouleoure</x:v>
      </x:c>
      <x:c r="F8" s="23" t="str">
        <x:v>OCR/page-footer contamination must be absent.</x:v>
      </x:c>
    </x:row>
    <x:row r="9">
      <x:c r="A9" s="23" t="str">
        <x:v>7.7.2</x:v>
      </x:c>
      <x:c r="B9" s="23" t="str">
        <x:v>Text Cleanliness</x:v>
      </x:c>
      <x:c r="C9" s="23" t="str">
        <x:v>Yes</x:v>
      </x:c>
      <x:c r="D9" s="23" t="str">
        <x:v>specify the type and frequency</x:v>
      </x:c>
      <x:c r="E9" s="23" t="str">
        <x:v>Disclve|Compliarice|marae</x:v>
      </x:c>
      <x:c r="F9" s="23" t="str">
        <x:v>Binder footnote/page-footer contamination must be absent.</x:v>
      </x:c>
    </x:row>
    <x:row r="10">
      <x:c r="A10" s="23" t="str">
        <x:v>7.7.15</x:v>
      </x:c>
      <x:c r="B10" s="23" t="str">
        <x:v>Text Cleanliness</x:v>
      </x:c>
      <x:c r="C10" s="23" t="str">
        <x:v>Yes</x:v>
      </x:c>
      <x:c r="D10" s="23" t="str">
        <x:v>allow the Registrar access to its business</x:v>
      </x:c>
      <x:c r="E10" s="23" t="str">
        <x:v>\{|COUGH|peclite</x:v>
      </x:c>
      <x:c r="F10" s="23" t="str">
        <x:v>The access clause must be clean and preserve 'access to'.</x:v>
      </x:c>
    </x:row>
    <x:row r="11">
      <x:c r="A11" s="23" t="str">
        <x:v>10</x:v>
      </x:c>
      <x:c r="B11" s="23" t="str">
        <x:v>Text Cleanliness</x:v>
      </x:c>
      <x:c r="C11" s="23" t="str">
        <x:v>Yes</x:v>
      </x:c>
      <x:c r="D11" s="23" t="str">
        <x:v>appointed auditors and statutory actuary</x:v>
      </x:c>
      <x:c r="E11" s="23" t="str">
        <x:v>REGIST|Coinplanee|Oueouiers</x:v>
      </x:c>
      <x:c r="F11" s="23" t="str">
        <x:v>The operative information-sharing duty must be isolated from the footer.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</x:cols>
  <x:sheetData>
    <x:row r="1">
      <x:c r="A1" s="20" t="str">
        <x:v>Section</x:v>
      </x:c>
      <x:c r="B1" s="21" t="str">
        <x:v>Expected Gap Type</x:v>
      </x:c>
      <x:c r="C1" s="21" t="str">
        <x:v>Recommendation Must Mention</x:v>
      </x:c>
      <x:c r="D1" s="21" t="str">
        <x:v>Draft Must Mention</x:v>
      </x:c>
      <x:c r="E1" s="21" t="str">
        <x:v>Owner Must Mention</x:v>
      </x:c>
      <x:c r="F1" s="21" t="str">
        <x:v>Timeframe Must Mention</x:v>
      </x:c>
      <x:c r="G1" s="21" t="str">
        <x:v>Evidence Must Mention</x:v>
      </x:c>
      <x:c r="H1" s="21" t="str">
        <x:v>Forbidden Pattern</x:v>
      </x:c>
      <x:c r="I1" s="22" t="str">
        <x:v>Scoring Rationale</x:v>
      </x:c>
    </x:row>
    <x:row r="2">
      <x:c r="A2" s="23" t="str">
        <x:v>1</x:v>
      </x:c>
      <x:c r="B2" s="23" t="str">
        <x:v>Operational</x:v>
      </x:c>
      <x:c r="C2" s="23" t="str">
        <x:v>Gap type:;Gap:;Recommendation:;complete Directive 159 compliance for outsourcing</x:v>
      </x:c>
      <x:c r="D2" s="23" t="str">
        <x:v>comply with the requirements;Directive;outsourcing</x:v>
      </x:c>
      <x:c r="E2" s="23" t="str">
        <x:v>accountable</x:v>
      </x:c>
      <x:c r="F2" s="23" t="str">
        <x:v>days</x:v>
      </x:c>
      <x:c r="G2" s="23" t="str">
        <x:v>Acceptance test;sign-off</x:v>
      </x:c>
      <x:c r="H2" s="23" t="str">
        <x:v>must\s+Where|paragraph\s+6\s+above|paragraph\s+7\.5\s+below|paragraphs?\s+7\.9\s+to\s+7\.11(?!\s+of\s+FSCA\s+Directive\s+159)|by\s+no\s+later\s+than\s+1\s+January\s+2013</x:v>
      </x:c>
      <x:c r="I2" s="23" t="str">
        <x:v>Every field is scored independently; all checks must pass for the recommendation package to count as correct.</x:v>
      </x:c>
    </x:row>
    <x:row r="3">
      <x:c r="A3" s="23" t="str">
        <x:v>3.1</x:v>
      </x:c>
      <x:c r="B3" s="23" t="str">
        <x:v>Jurisdictional</x:v>
      </x:c>
      <x:c r="C3" s="23" t="str">
        <x:v>Gap type:;Gap:;Recommendation:;applicability to all insurers including qualifying reinsurers</x:v>
      </x:c>
      <x:c r="D3" s="23" t="str">
        <x:v>all insurers;reinsurers;FSCA Directive 159 section 3.6</x:v>
      </x:c>
      <x:c r="E3" s="23" t="str">
        <x:v>Legal &amp; Compliance;Regulatory Compliance</x:v>
      </x:c>
      <x:c r="F3" s="23" t="str">
        <x:v>days</x:v>
      </x:c>
      <x:c r="G3" s="23" t="str">
        <x:v>Acceptance test;sign-off</x:v>
      </x:c>
      <x:c r="H3" s="23" t="str">
        <x:v>must\s+Where|paragraph\s+6\s+above|paragraph\s+7\.5\s+below|paragraphs?\s+7\.9\s+to\s+7\.11(?!\s+of\s+FSCA\s+Directive\s+159)|by\s+no\s+later\s+than\s+1\s+January\s+2013</x:v>
      </x:c>
      <x:c r="I3" s="23" t="str">
        <x:v>Every field is scored independently; all checks must pass for the recommendation package to count as correct.</x:v>
      </x:c>
    </x:row>
    <x:row r="4">
      <x:c r="A4" s="23" t="str">
        <x:v>3.3</x:v>
      </x:c>
      <x:c r="B4" s="23" t="str">
        <x:v>Jurisdictional</x:v>
      </x:c>
      <x:c r="C4" s="23" t="str">
        <x:v>Gap type:;Gap:;Recommendation:;provider location inside or outside South Africa</x:v>
      </x:c>
      <x:c r="D4" s="23" t="str">
        <x:v>related party;outside of South Africa</x:v>
      </x:c>
      <x:c r="E4" s="23" t="str">
        <x:v>accountable</x:v>
      </x:c>
      <x:c r="F4" s="23" t="str">
        <x:v>days</x:v>
      </x:c>
      <x:c r="G4" s="23" t="str">
        <x:v>Acceptance test;sign-off</x:v>
      </x:c>
      <x:c r="H4" s="23" t="str">
        <x:v>must\s+Where|paragraph\s+6\s+above|paragraph\s+7\.5\s+below|paragraphs?\s+7\.9\s+to\s+7\.11(?!\s+of\s+FSCA\s+Directive\s+159)|by\s+no\s+later\s+than\s+1\s+January\s+2013</x:v>
      </x:c>
      <x:c r="I4" s="23" t="str">
        <x:v>Every field is scored independently; all checks must pass for the recommendation package to count as correct.</x:v>
      </x:c>
    </x:row>
    <x:row r="5">
      <x:c r="A5" s="23" t="str">
        <x:v>3.4.1</x:v>
      </x:c>
      <x:c r="B5" s="23" t="str">
        <x:v>Jurisdictional</x:v>
      </x:c>
      <x:c r="C5" s="23" t="str">
        <x:v>Gap type:;Gap:;Recommendation:;branch;outside of South Africa</x:v>
      </x:c>
      <x:c r="D5" s="23" t="str">
        <x:v>branch;outside of South Africa</x:v>
      </x:c>
      <x:c r="E5" s="23" t="str">
        <x:v>accountable</x:v>
      </x:c>
      <x:c r="F5" s="23" t="str">
        <x:v>days</x:v>
      </x:c>
      <x:c r="G5" s="23" t="str">
        <x:v>Acceptance test;sign-off</x:v>
      </x:c>
      <x:c r="H5" s="23" t="str">
        <x:v>must\s+Where|paragraph\s+6\s+above|paragraph\s+7\.5\s+below|paragraphs?\s+7\.9\s+to\s+7\.11(?!\s+of\s+FSCA\s+Directive\s+159)|by\s+no\s+later\s+than\s+1\s+January\s+2013</x:v>
      </x:c>
      <x:c r="I5" s="23" t="str">
        <x:v>Every field is scored independently; all checks must pass for the recommendation package to count as correct.</x:v>
      </x:c>
    </x:row>
    <x:row r="6">
      <x:c r="A6" s="23" t="str">
        <x:v>3.4.2</x:v>
      </x:c>
      <x:c r="B6" s="23" t="str">
        <x:v>Jurisdictional</x:v>
      </x:c>
      <x:c r="C6" s="23" t="str">
        <x:v>Gap type:;Gap:;Recommendation:;subsidiary insurance-business outsourcing inside or outside South Africa</x:v>
      </x:c>
      <x:c r="D6" s="23" t="str">
        <x:v>subsidiary;in or outside of South Africa</x:v>
      </x:c>
      <x:c r="E6" s="23" t="str">
        <x:v>accountable</x:v>
      </x:c>
      <x:c r="F6" s="23" t="str">
        <x:v>days</x:v>
      </x:c>
      <x:c r="G6" s="23" t="str">
        <x:v>Acceptance test;sign-off</x:v>
      </x:c>
      <x:c r="H6" s="23" t="str">
        <x:v>must\s+Where|paragraph\s+6\s+above|paragraph\s+7\.5\s+below|paragraphs?\s+7\.9\s+to\s+7\.11(?!\s+of\s+FSCA\s+Directive\s+159)|by\s+no\s+later\s+than\s+1\s+January\s+2013</x:v>
      </x:c>
      <x:c r="I6" s="23" t="str">
        <x:v>Every field is scored independently; all checks must pass for the recommendation package to count as correct.</x:v>
      </x:c>
    </x:row>
    <x:row r="7">
      <x:c r="A7" s="23" t="str">
        <x:v>3.6</x:v>
      </x:c>
      <x:c r="B7" s="23" t="str">
        <x:v>Jurisdictional</x:v>
      </x:c>
      <x:c r="C7" s="23" t="str">
        <x:v>Gap type:;Gap:;Recommendation:;reinsurance scope</x:v>
      </x:c>
      <x:c r="D7" s="23" t="str">
        <x:v>reinsurer;reinsurance contract;does not apply</x:v>
      </x:c>
      <x:c r="E7" s="23" t="str">
        <x:v>accountable</x:v>
      </x:c>
      <x:c r="F7" s="23" t="str">
        <x:v>days</x:v>
      </x:c>
      <x:c r="G7" s="23" t="str">
        <x:v>Acceptance test;sign-off</x:v>
      </x:c>
      <x:c r="H7" s="23" t="str">
        <x:v>must\s+Where|paragraph\s+6\s+above|paragraph\s+7\.5\s+below|paragraphs?\s+7\.9\s+to\s+7\.11(?!\s+of\s+FSCA\s+Directive\s+159)|by\s+no\s+later\s+than\s+1\s+January\s+2013</x:v>
      </x:c>
      <x:c r="I7" s="23" t="str">
        <x:v>Every field is scored independently; all checks must pass for the recommendation package to count as correct.</x:v>
      </x:c>
    </x:row>
    <x:row r="8">
      <x:c r="A8" s="23" t="str">
        <x:v>3.7</x:v>
      </x:c>
      <x:c r="B8" s="23" t="str">
        <x:v>Jurisdictional</x:v>
      </x:c>
      <x:c r="C8" s="23" t="str">
        <x:v>Gap type:;Gap:;Recommendation:;directive;general;overarching</x:v>
      </x:c>
      <x:c r="D8" s="23" t="str">
        <x:v>directive;general;overarching</x:v>
      </x:c>
      <x:c r="E8" s="23" t="str">
        <x:v>accountable</x:v>
      </x:c>
      <x:c r="F8" s="23" t="str">
        <x:v>days</x:v>
      </x:c>
      <x:c r="G8" s="23" t="str">
        <x:v>Acceptance test;sign-off</x:v>
      </x:c>
      <x:c r="H8" s="23" t="str">
        <x:v>must\s+Where|paragraph\s+6\s+above|paragraph\s+7\.5\s+below|paragraphs?\s+7\.9\s+to\s+7\.11(?!\s+of\s+FSCA\s+Directive\s+159)|by\s+no\s+later\s+than\s+1\s+January\s+2013</x:v>
      </x:c>
      <x:c r="I8" s="23" t="str">
        <x:v>Every field is scored independently; all checks must pass for the recommendation package to count as correct.</x:v>
      </x:c>
    </x:row>
    <x:row r="9">
      <x:c r="A9" s="23" t="str">
        <x:v>4.3.1</x:v>
      </x:c>
      <x:c r="B9" s="23" t="str">
        <x:v>Operational</x:v>
      </x:c>
      <x:c r="C9" s="23" t="str">
        <x:v>Gap type:;Gap:;Recommendation:;continuous adequacy of organisation or management</x:v>
      </x:c>
      <x:c r="D9" s="23" t="str">
        <x:v>organisation or management;necessary and adequate</x:v>
      </x:c>
      <x:c r="E9" s="23" t="str">
        <x:v>accountable</x:v>
      </x:c>
      <x:c r="F9" s="23" t="str">
        <x:v>days</x:v>
      </x:c>
      <x:c r="G9" s="23" t="str">
        <x:v>Acceptance test;sign-off</x:v>
      </x:c>
      <x:c r="H9" s="23" t="str">
        <x:v>must\s+Where|paragraph\s+6\s+above|paragraph\s+7\.5\s+below|paragraphs?\s+7\.9\s+to\s+7\.11(?!\s+of\s+FSCA\s+Directive\s+159)|by\s+no\s+later\s+than\s+1\s+January\s+2013</x:v>
      </x:c>
      <x:c r="I9" s="23" t="str">
        <x:v>Every field is scored independently; all checks must pass for the recommendation package to count as correct.</x:v>
      </x:c>
    </x:row>
    <x:row r="10">
      <x:c r="A10" s="23" t="str">
        <x:v>4.3.2</x:v>
      </x:c>
      <x:c r="B10" s="23" t="str">
        <x:v>Governance</x:v>
      </x:c>
      <x:c r="C10" s="23" t="str">
        <x:v>Gap type:;Gap:;Recommendation:;effective outsourcing governance framework</x:v>
      </x:c>
      <x:c r="D10" s="23" t="str">
        <x:v>governance framework;manages risks;regulatory obligations</x:v>
      </x:c>
      <x:c r="E10" s="23" t="str">
        <x:v>accountable</x:v>
      </x:c>
      <x:c r="F10" s="23" t="str">
        <x:v>days</x:v>
      </x:c>
      <x:c r="G10" s="23" t="str">
        <x:v>Acceptance test;sign-off</x:v>
      </x:c>
      <x:c r="H10" s="23" t="str">
        <x:v>must\s+Where|paragraph\s+6\s+above|paragraph\s+7\.5\s+below|paragraphs?\s+7\.9\s+to\s+7\.11(?!\s+of\s+FSCA\s+Directive\s+159)|by\s+no\s+later\s+than\s+1\s+January\s+2013</x:v>
      </x:c>
      <x:c r="I10" s="23" t="str">
        <x:v>Every field is scored independently; all checks must pass for the recommendation package to count as correct.</x:v>
      </x:c>
    </x:row>
    <x:row r="11">
      <x:c r="A11" s="23" t="str">
        <x:v>5.2.2</x:v>
      </x:c>
      <x:c r="B11" s="23" t="str">
        <x:v>Operational</x:v>
      </x:c>
      <x:c r="C11" s="23" t="str">
        <x:v>Gap type:;Gap:;Recommendation:;appropriate internal controls;legal and regulatory requirements;mandatory</x:v>
      </x:c>
      <x:c r="D11" s="23" t="str">
        <x:v>materiality assessment;appropriate internal controls;legal and regulatory requirements;may not be waived</x:v>
      </x:c>
      <x:c r="E11" s="23" t="str">
        <x:v>Third-Party Risk;Business Owner;Regulatory Compliance</x:v>
      </x:c>
      <x:c r="F11" s="23" t="str">
        <x:v>days</x:v>
      </x:c>
      <x:c r="G11" s="23" t="str">
        <x:v>materiality methodology;mandatory assessment form;retrospective reassessment log;Compliance sign-off</x:v>
      </x:c>
      <x:c r="H11" s="23" t="str">
        <x:v>must\s+Where|paragraph\s+6\s+above|paragraph\s+7\.5\s+below|paragraphs?\s+7\.9\s+to\s+7\.11(?!\s+of\s+FSCA\s+Directive\s+159)|by\s+no\s+later\s+than\s+1\s+January\s+2013</x:v>
      </x:c>
      <x:c r="I11" s="23" t="str">
        <x:v>Every field is scored independently; all checks must pass for the recommendation package to count as correct.</x:v>
      </x:c>
    </x:row>
    <x:row r="12">
      <x:c r="A12" s="23" t="str">
        <x:v>5.2.3</x:v>
      </x:c>
      <x:c r="B12" s="23" t="str">
        <x:v>Operational</x:v>
      </x:c>
      <x:c r="C12" s="23" t="str">
        <x:v>Gap type:;Gap:;Recommendation:;difficulty;time;replace;in-house;mandatory</x:v>
      </x:c>
      <x:c r="D12" s="23" t="str">
        <x:v>difficulty and time;replace the service provider;in-house;may not be waived</x:v>
      </x:c>
      <x:c r="E12" s="23" t="str">
        <x:v>Third-Party Risk;Business Owner;Regulatory Compliance</x:v>
      </x:c>
      <x:c r="F12" s="23" t="str">
        <x:v>days</x:v>
      </x:c>
      <x:c r="G12" s="23" t="str">
        <x:v>materiality methodology;mandatory assessment form;retrospective reassessment log;Compliance sign-off</x:v>
      </x:c>
      <x:c r="H12" s="23" t="str">
        <x:v>must\s+Where|paragraph\s+6\s+above|paragraph\s+7\.5\s+below|paragraphs?\s+7\.9\s+to\s+7\.11(?!\s+of\s+FSCA\s+Directive\s+159)|by\s+no\s+later\s+than\s+1\s+January\s+2013</x:v>
      </x:c>
      <x:c r="I12" s="23" t="str">
        <x:v>Every field is scored independently; all checks must pass for the recommendation package to count as correct.</x:v>
      </x:c>
    </x:row>
    <x:row r="13">
      <x:c r="A13" s="23" t="str">
        <x:v>6.2.1</x:v>
      </x:c>
      <x:c r="B13" s="23" t="str">
        <x:v>Operational</x:v>
      </x:c>
      <x:c r="C13" s="23" t="str">
        <x:v>Gap type:;Gap:;Recommendation:;outsource;materially;increase</x:v>
      </x:c>
      <x:c r="D13" s="23" t="str">
        <x:v>outsource;materially;increase</x:v>
      </x:c>
      <x:c r="E13" s="23" t="str">
        <x:v>accountable</x:v>
      </x:c>
      <x:c r="F13" s="23" t="str">
        <x:v>days</x:v>
      </x:c>
      <x:c r="G13" s="23" t="str">
        <x:v>Acceptance test;sign-off</x:v>
      </x:c>
      <x:c r="H13" s="23" t="str">
        <x:v>must\s+Where|paragraph\s+6\s+above|paragraph\s+7\.5\s+below|paragraphs?\s+7\.9\s+to\s+7\.11(?!\s+of\s+FSCA\s+Directive\s+159)|by\s+no\s+later\s+than\s+1\s+January\s+2013</x:v>
      </x:c>
      <x:c r="I13" s="23" t="str">
        <x:v>Every field is scored independently; all checks must pass for the recommendation package to count as correct.</x:v>
      </x:c>
    </x:row>
    <x:row r="14">
      <x:c r="A14" s="23" t="str">
        <x:v>6.2.2</x:v>
      </x:c>
      <x:c r="B14" s="23" t="str">
        <x:v>Governance</x:v>
      </x:c>
      <x:c r="C14" s="23" t="str">
        <x:v>Gap type:;Gap:;Recommendation:;outsource;materially;impair</x:v>
      </x:c>
      <x:c r="D14" s="23" t="str">
        <x:v>outsource;materially;impair</x:v>
      </x:c>
      <x:c r="E14" s="23" t="str">
        <x:v>accountable</x:v>
      </x:c>
      <x:c r="F14" s="23" t="str">
        <x:v>days</x:v>
      </x:c>
      <x:c r="G14" s="23" t="str">
        <x:v>Acceptance test;sign-off</x:v>
      </x:c>
      <x:c r="H14" s="23" t="str">
        <x:v>must\s+Where|paragraph\s+6\s+above|paragraph\s+7\.5\s+below|paragraphs?\s+7\.9\s+to\s+7\.11(?!\s+of\s+FSCA\s+Directive\s+159)|by\s+no\s+later\s+than\s+1\s+January\s+2013</x:v>
      </x:c>
      <x:c r="I14" s="23" t="str">
        <x:v>Every field is scored independently; all checks must pass for the recommendation package to count as correct.</x:v>
      </x:c>
    </x:row>
    <x:row r="15">
      <x:c r="A15" s="23" t="str">
        <x:v>6.2.3</x:v>
      </x:c>
      <x:c r="B15" s="23" t="str">
        <x:v>Legal / Regulatory</x:v>
      </x:c>
      <x:c r="C15" s="23" t="str">
        <x:v>Gap type:;Gap:;Recommendation:;prohibition on impairing regulatory monitoring;Registrar;regulatory obligations</x:v>
      </x:c>
      <x:c r="D15" s="23" t="str">
        <x:v>must not outsource;Registrar;monitor;regulatory obligations</x:v>
      </x:c>
      <x:c r="E15" s="23" t="str">
        <x:v>Operations;Outsourcing Management;Legal &amp; Compliance approval</x:v>
      </x:c>
      <x:c r="F15" s="23" t="str">
        <x:v>Immediate pre-approval prohibition;30 calendar days</x:v>
      </x:c>
      <x:c r="G15" s="23" t="str">
        <x:v>pre-outsourcing prohibition checklist;approval-gate rule;decision record;Risk and Compliance sign-off</x:v>
      </x:c>
      <x:c r="H15" s="23" t="str">
        <x:v>must\s+Where|paragraph\s+6\s+above|paragraph\s+7\.5\s+below|paragraphs?\s+7\.9\s+to\s+7\.11(?!\s+of\s+FSCA\s+Directive\s+159)|by\s+no\s+later\s+than\s+1\s+January\s+2013</x:v>
      </x:c>
      <x:c r="I15" s="23" t="str">
        <x:v>Every field is scored independently; all checks must pass for the recommendation package to count as correct.</x:v>
      </x:c>
    </x:row>
    <x:row r="16">
      <x:c r="A16" s="23" t="str">
        <x:v>6.2.4</x:v>
      </x:c>
      <x:c r="B16" s="23" t="str">
        <x:v>Operational</x:v>
      </x:c>
      <x:c r="C16" s="23" t="str">
        <x:v>Gap type:;Gap:;Recommendation:;outsource;compromise;treatment</x:v>
      </x:c>
      <x:c r="D16" s="23" t="str">
        <x:v>outsource;compromise;treatment</x:v>
      </x:c>
      <x:c r="E16" s="23" t="str">
        <x:v>accountable</x:v>
      </x:c>
      <x:c r="F16" s="23" t="str">
        <x:v>days</x:v>
      </x:c>
      <x:c r="G16" s="23" t="str">
        <x:v>Acceptance test;sign-off</x:v>
      </x:c>
      <x:c r="H16" s="23" t="str">
        <x:v>must\s+Where|paragraph\s+6\s+above|paragraph\s+7\.5\s+below|paragraphs?\s+7\.9\s+to\s+7\.11(?!\s+of\s+FSCA\s+Directive\s+159)|by\s+no\s+later\s+than\s+1\s+January\s+2013</x:v>
      </x:c>
      <x:c r="I16" s="23" t="str">
        <x:v>Every field is scored independently; all checks must pass for the recommendation package to count as correct.</x:v>
      </x:c>
    </x:row>
    <x:row r="17">
      <x:c r="A17" s="23" t="str">
        <x:v>6.3</x:v>
      </x:c>
      <x:c r="B17" s="23" t="str">
        <x:v>Governance</x:v>
      </x:c>
      <x:c r="C17" s="23" t="str">
        <x:v>Gap type:;Gap:;Recommendation:;conflicts of interest;recorded;Compliance;avoided;mitigation</x:v>
      </x:c>
      <x:c r="D17" s="23" t="str">
        <x:v>conflicts of interest;immediately;recorded;Compliance;avoided;mitigation</x:v>
      </x:c>
      <x:c r="E17" s="23" t="str">
        <x:v>Chief Compliance Officer;Procurement;Business Owners</x:v>
      </x:c>
      <x:c r="F17" s="23" t="str">
        <x:v>days</x:v>
      </x:c>
      <x:c r="G17" s="23" t="str">
        <x:v>conflict-of-interest procedure;conflicts register;provider declarations;mitigation decision;Compliance sign-off</x:v>
      </x:c>
      <x:c r="H17" s="23" t="str">
        <x:v>must\s+Where|paragraph\s+6\s+above|paragraph\s+7\.5\s+below|paragraphs?\s+7\.9\s+to\s+7\.11(?!\s+of\s+FSCA\s+Directive\s+159)|by\s+no\s+later\s+than\s+1\s+January\s+2013</x:v>
      </x:c>
      <x:c r="I17" s="23" t="str">
        <x:v>Every field is scored independently; all checks must pass for the recommendation package to count as correct.</x:v>
      </x:c>
    </x:row>
    <x:row r="18">
      <x:c r="A18" s="23" t="str">
        <x:v>6.4.1</x:v>
      </x:c>
      <x:c r="B18" s="23" t="str">
        <x:v>Governance</x:v>
      </x:c>
      <x:c r="C18" s="23" t="str">
        <x:v>Gap type:;Gap:;Recommendation:;remuneration;respect;reasonable</x:v>
      </x:c>
      <x:c r="D18" s="23" t="str">
        <x:v>remuneration;respect;reasonable</x:v>
      </x:c>
      <x:c r="E18" s="23" t="str">
        <x:v>accountable</x:v>
      </x:c>
      <x:c r="F18" s="23" t="str">
        <x:v>days</x:v>
      </x:c>
      <x:c r="G18" s="23" t="str">
        <x:v>Acceptance test;sign-off</x:v>
      </x:c>
      <x:c r="H18" s="23" t="str">
        <x:v>must\s+Where|paragraph\s+6\s+above|paragraph\s+7\.5\s+below|paragraphs?\s+7\.9\s+to\s+7\.11(?!\s+of\s+FSCA\s+Directive\s+159)|by\s+no\s+later\s+than\s+1\s+January\s+2013</x:v>
      </x:c>
      <x:c r="I18" s="23" t="str">
        <x:v>Every field is scored independently; all checks must pass for the recommendation package to count as correct.</x:v>
      </x:c>
    </x:row>
    <x:row r="19">
      <x:c r="A19" s="23" t="str">
        <x:v>6.4.2</x:v>
      </x:c>
      <x:c r="B19" s="23" t="str">
        <x:v>Governance</x:v>
      </x:c>
      <x:c r="C19" s="23" t="str">
        <x:v>Gap type:;Gap:;Recommendation:;remuneration;respect;result</x:v>
      </x:c>
      <x:c r="D19" s="23" t="str">
        <x:v>remuneration;respect;result</x:v>
      </x:c>
      <x:c r="E19" s="23" t="str">
        <x:v>accountable</x:v>
      </x:c>
      <x:c r="F19" s="23" t="str">
        <x:v>days</x:v>
      </x:c>
      <x:c r="G19" s="23" t="str">
        <x:v>Acceptance test;sign-off</x:v>
      </x:c>
      <x:c r="H19" s="23" t="str">
        <x:v>must\s+Where|paragraph\s+6\s+above|paragraph\s+7\.5\s+below|paragraphs?\s+7\.9\s+to\s+7\.11(?!\s+of\s+FSCA\s+Directive\s+159)|by\s+no\s+later\s+than\s+1\s+January\s+2013</x:v>
      </x:c>
      <x:c r="I19" s="23" t="str">
        <x:v>Every field is scored independently; all checks must pass for the recommendation package to count as correct.</x:v>
      </x:c>
    </x:row>
    <x:row r="20">
      <x:c r="A20" s="23" t="str">
        <x:v>6.4.3</x:v>
      </x:c>
      <x:c r="B20" s="23" t="str">
        <x:v>Governance</x:v>
      </x:c>
      <x:c r="C20" s="23" t="str">
        <x:v>Gap type:;Gap:;Recommendation:;remuneration;respect;structured</x:v>
      </x:c>
      <x:c r="D20" s="23" t="str">
        <x:v>remuneration;respect;structured</x:v>
      </x:c>
      <x:c r="E20" s="23" t="str">
        <x:v>accountable</x:v>
      </x:c>
      <x:c r="F20" s="23" t="str">
        <x:v>days</x:v>
      </x:c>
      <x:c r="G20" s="23" t="str">
        <x:v>Acceptance test;sign-off</x:v>
      </x:c>
      <x:c r="H20" s="23" t="str">
        <x:v>must\s+Where|paragraph\s+6\s+above|paragraph\s+7\.5\s+below|paragraphs?\s+7\.9\s+to\s+7\.11(?!\s+of\s+FSCA\s+Directive\s+159)|by\s+no\s+later\s+than\s+1\s+January\s+2013</x:v>
      </x:c>
      <x:c r="I20" s="23" t="str">
        <x:v>Every field is scored independently; all checks must pass for the recommendation package to count as correct.</x:v>
      </x:c>
    </x:row>
    <x:row r="21">
      <x:c r="A21" s="23" t="str">
        <x:v>6.4.4</x:v>
      </x:c>
      <x:c r="B21" s="23" t="str">
        <x:v>Governance</x:v>
      </x:c>
      <x:c r="C21" s="23" t="str">
        <x:v>Gap type:;Gap:;Recommendation:;remuneration;must never be linked;claims repudiated;not paid;partially paid</x:v>
      </x:c>
      <x:c r="D21" s="23" t="str">
        <x:v>must never be linked;monetary value or volume;claims repudiated;not paid;partially paid</x:v>
      </x:c>
      <x:c r="E21" s="23" t="str">
        <x:v>Chief Compliance Officer;Group Legal;Finance;Conduct Risk</x:v>
      </x:c>
      <x:c r="F21" s="23" t="str">
        <x:v>immediately;15 business days;customer-impact review</x:v>
      </x:c>
      <x:c r="G21" s="23" t="str">
        <x:v>affected-fee inventory;incentive recalculation;claims-outcome;customer-impact review;remediation log</x:v>
      </x:c>
      <x:c r="H21" s="23" t="str">
        <x:v>must\s+Where|paragraph\s+6\s+above|paragraph\s+7\.5\s+below|paragraphs?\s+7\.9\s+to\s+7\.11(?!\s+of\s+FSCA\s+Directive\s+159)|by\s+no\s+later\s+than\s+1\s+January\s+2013</x:v>
      </x:c>
      <x:c r="I21" s="23" t="str">
        <x:v>Every field is scored independently; all checks must pass for the recommendation package to count as correct.</x:v>
      </x:c>
    </x:row>
    <x:row r="22">
      <x:c r="A22" s="23" t="str">
        <x:v>6.5</x:v>
      </x:c>
      <x:c r="B22" s="23" t="str">
        <x:v>Governance</x:v>
      </x:c>
      <x:c r="C22" s="23" t="str">
        <x:v>Gap type:;Gap:;Recommendation:;paragraph 6 principles applied to authorised sub-outsourcing</x:v>
      </x:c>
      <x:c r="D22" s="23" t="str">
        <x:v>sub-outsourcing;FSCA Directive 159 sections 6.1 to 6.4;accountability;risk;remuneration</x:v>
      </x:c>
      <x:c r="E22" s="23" t="str">
        <x:v>accountable</x:v>
      </x:c>
      <x:c r="F22" s="23" t="str">
        <x:v>days</x:v>
      </x:c>
      <x:c r="G22" s="23" t="str">
        <x:v>Acceptance test;sign-off</x:v>
      </x:c>
      <x:c r="H22" s="23" t="str">
        <x:v>must\s+Where|paragraph\s+6\s+above|paragraph\s+7\.5\s+below|paragraphs?\s+7\.9\s+to\s+7\.11(?!\s+of\s+FSCA\s+Directive\s+159)|by\s+no\s+later\s+than\s+1\s+January\s+2013</x:v>
      </x:c>
      <x:c r="I22" s="23" t="str">
        <x:v>Every field is scored independently; all checks must pass for the recommendation package to count as correct.</x:v>
      </x:c>
    </x:row>
    <x:row r="23">
      <x:c r="A23" s="23" t="str">
        <x:v>7.2.1</x:v>
      </x:c>
      <x:c r="B23" s="23" t="str">
        <x:v>Governance</x:v>
      </x:c>
      <x:c r="C23" s="23" t="str">
        <x:v>Gap type:;Gap:;Recommendation:;all paragraph 6 outsourcing principles</x:v>
      </x:c>
      <x:c r="D23" s="23" t="str">
        <x:v>outsourcing policy;FSCA Directive 159 section 6;accountability;risk;remuneration</x:v>
      </x:c>
      <x:c r="E23" s="23" t="str">
        <x:v>accountable</x:v>
      </x:c>
      <x:c r="F23" s="23" t="str">
        <x:v>days</x:v>
      </x:c>
      <x:c r="G23" s="23" t="str">
        <x:v>Acceptance test;sign-off</x:v>
      </x:c>
      <x:c r="H23" s="23" t="str">
        <x:v>must\s+Where|paragraph\s+6\s+above|paragraph\s+7\.5\s+below|paragraphs?\s+7\.9\s+to\s+7\.11(?!\s+of\s+FSCA\s+Directive\s+159)|by\s+no\s+later\s+than\s+1\s+January\s+2013</x:v>
      </x:c>
      <x:c r="I23" s="23" t="str">
        <x:v>Every field is scored independently; all checks must pass for the recommendation package to count as correct.</x:v>
      </x:c>
    </x:row>
    <x:row r="24">
      <x:c r="A24" s="23" t="str">
        <x:v>7.2.2</x:v>
      </x:c>
      <x:c r="B24" s="23" t="str">
        <x:v>Governance</x:v>
      </x:c>
      <x:c r="C24" s="23" t="str">
        <x:v>Gap type:;Gap:;Recommendation:;policy;least;limits</x:v>
      </x:c>
      <x:c r="D24" s="23" t="str">
        <x:v>policy;least;limits</x:v>
      </x:c>
      <x:c r="E24" s="23" t="str">
        <x:v>accountable</x:v>
      </x:c>
      <x:c r="F24" s="23" t="str">
        <x:v>days</x:v>
      </x:c>
      <x:c r="G24" s="23" t="str">
        <x:v>Acceptance test;sign-off</x:v>
      </x:c>
      <x:c r="H24" s="23" t="str">
        <x:v>must\s+Where|paragraph\s+6\s+above|paragraph\s+7\.5\s+below|paragraphs?\s+7\.9\s+to\s+7\.11(?!\s+of\s+FSCA\s+Directive\s+159)|by\s+no\s+later\s+than\s+1\s+January\s+2013</x:v>
      </x:c>
      <x:c r="I24" s="23" t="str">
        <x:v>Every field is scored independently; all checks must pass for the recommendation package to count as correct.</x:v>
      </x:c>
    </x:row>
    <x:row r="25">
      <x:c r="A25" s="23" t="str">
        <x:v>7.2.3</x:v>
      </x:c>
      <x:c r="B25" s="23" t="str">
        <x:v>Governance</x:v>
      </x:c>
      <x:c r="C25" s="23" t="str">
        <x:v>Gap type:;Gap:;Recommendation:;policy;least;provide</x:v>
      </x:c>
      <x:c r="D25" s="23" t="str">
        <x:v>policy;least;provide</x:v>
      </x:c>
      <x:c r="E25" s="23" t="str">
        <x:v>accountable</x:v>
      </x:c>
      <x:c r="F25" s="23" t="str">
        <x:v>days</x:v>
      </x:c>
      <x:c r="G25" s="23" t="str">
        <x:v>Acceptance test;sign-off</x:v>
      </x:c>
      <x:c r="H25" s="23" t="str">
        <x:v>must\s+Where|paragraph\s+6\s+above|paragraph\s+7\.5\s+below|paragraphs?\s+7\.9\s+to\s+7\.11(?!\s+of\s+FSCA\s+Directive\s+159)|by\s+no\s+later\s+than\s+1\s+January\s+2013</x:v>
      </x:c>
      <x:c r="I25" s="23" t="str">
        <x:v>Every field is scored independently; all checks must pass for the recommendation package to count as correct.</x:v>
      </x:c>
    </x:row>
    <x:row r="26">
      <x:c r="A26" s="23" t="str">
        <x:v>7.2.4</x:v>
      </x:c>
      <x:c r="B26" s="23" t="str">
        <x:v>Governance</x:v>
      </x:c>
      <x:c r="C26" s="23" t="str">
        <x:v>Gap type:;Gap:;Recommendation:;internal review and approval before material outsourcing</x:v>
      </x:c>
      <x:c r="D26" s="23" t="str">
        <x:v>internal review;approval;before execution;FSCA Directive 159 section 7.5</x:v>
      </x:c>
      <x:c r="E26" s="23" t="str">
        <x:v>accountable</x:v>
      </x:c>
      <x:c r="F26" s="23" t="str">
        <x:v>days</x:v>
      </x:c>
      <x:c r="G26" s="23" t="str">
        <x:v>internal-review and approval procedure;approval matrix;dated approval record;contract-release control</x:v>
      </x:c>
      <x:c r="H26" s="23" t="str">
        <x:v>must\s+Where|paragraph\s+6\s+above|paragraph\s+7\.5\s+below|paragraphs?\s+7\.9\s+to\s+7\.11(?!\s+of\s+FSCA\s+Directive\s+159)|by\s+no\s+later\s+than\s+1\s+January\s+2013</x:v>
      </x:c>
      <x:c r="I26" s="23" t="str">
        <x:v>Every field is scored independently; all checks must pass for the recommendation package to count as correct.</x:v>
      </x:c>
    </x:row>
    <x:row r="27">
      <x:c r="A27" s="23" t="str">
        <x:v>7.2.5</x:v>
      </x:c>
      <x:c r="B27" s="23" t="str">
        <x:v>Governance</x:v>
      </x:c>
      <x:c r="C27" s="23" t="str">
        <x:v>Gap type:;Gap:;Recommendation:;regular review;operational-risk;market-conduct;fair-treatment</x:v>
      </x:c>
      <x:c r="D27" s="23" t="str">
        <x:v>regular review;operational-risk;market-conduct;fair-treatment;FSCA Directive 159 sections 7.9 to 7.11</x:v>
      </x:c>
      <x:c r="E27" s="23" t="str">
        <x:v>accountable</x:v>
      </x:c>
      <x:c r="F27" s="23" t="str">
        <x:v>days</x:v>
      </x:c>
      <x:c r="G27" s="23" t="str">
        <x:v>Acceptance test;sign-off</x:v>
      </x:c>
      <x:c r="H27" s="23" t="str">
        <x:v>must\s+Where|paragraph\s+6\s+above|paragraph\s+7\.5\s+below|paragraphs?\s+7\.9\s+to\s+7\.11(?!\s+of\s+FSCA\s+Directive\s+159)|by\s+no\s+later\s+than\s+1\s+January\s+2013</x:v>
      </x:c>
      <x:c r="I27" s="23" t="str">
        <x:v>Every field is scored independently; all checks must pass for the recommendation package to count as correct.</x:v>
      </x:c>
    </x:row>
    <x:row r="28">
      <x:c r="A28" s="23" t="str">
        <x:v>7.3</x:v>
      </x:c>
      <x:c r="B28" s="23" t="str">
        <x:v>Governance</x:v>
      </x:c>
      <x:c r="C28" s="23" t="str">
        <x:v>Gap type:;Gap:;Recommendation:;reviewed at least annually;significant legal;regulatory;organisational;outsourcing change</x:v>
      </x:c>
      <x:c r="D28" s="23" t="str">
        <x:v>reviewed at least annually;reviewed and adapted promptly;board;risk committee</x:v>
      </x:c>
      <x:c r="E28" s="23" t="str">
        <x:v>Policy Owner;Group Chief Risk Officer;Regulatory Compliance</x:v>
      </x:c>
      <x:c r="F28" s="23" t="str">
        <x:v>30 calendar days;preceding 12 months</x:v>
      </x:c>
      <x:c r="G28" s="23" t="str">
        <x:v>policy inventory;three-year version and approval history;annual review calendar;committee minutes</x:v>
      </x:c>
      <x:c r="H28" s="23" t="str">
        <x:v>must\s+Where|paragraph\s+6\s+above|paragraph\s+7\.5\s+below|paragraphs?\s+7\.9\s+to\s+7\.11(?!\s+of\s+FSCA\s+Directive\s+159)|by\s+no\s+later\s+than\s+1\s+January\s+2013</x:v>
      </x:c>
      <x:c r="I28" s="23" t="str">
        <x:v>Every field is scored independently; all checks must pass for the recommendation package to count as correct.</x:v>
      </x:c>
    </x:row>
    <x:row r="29">
      <x:c r="A29" s="23" t="str">
        <x:v>7.4</x:v>
      </x:c>
      <x:c r="B29" s="23" t="str">
        <x:v>Governance</x:v>
      </x:c>
      <x:c r="C29" s="23" t="str">
        <x:v>Gap type:;Gap:;Recommendation:;ensure;affected;business</x:v>
      </x:c>
      <x:c r="D29" s="23" t="str">
        <x:v>ensure;affected;business</x:v>
      </x:c>
      <x:c r="E29" s="23" t="str">
        <x:v>accountable</x:v>
      </x:c>
      <x:c r="F29" s="23" t="str">
        <x:v>days</x:v>
      </x:c>
      <x:c r="G29" s="23" t="str">
        <x:v>Acceptance test;sign-off</x:v>
      </x:c>
      <x:c r="H29" s="23" t="str">
        <x:v>must\s+Where|paragraph\s+6\s+above|paragraph\s+7\.5\s+below|paragraphs?\s+7\.9\s+to\s+7\.11(?!\s+of\s+FSCA\s+Directive\s+159)|by\s+no\s+later\s+than\s+1\s+January\s+2013</x:v>
      </x:c>
      <x:c r="I29" s="23" t="str">
        <x:v>Every field is scored independently; all checks must pass for the recommendation package to count as correct.</x:v>
      </x:c>
    </x:row>
    <x:row r="30">
      <x:c r="A30" s="23" t="str">
        <x:v>7.5.1</x:v>
      </x:c>
      <x:c r="B30" s="23" t="str">
        <x:v>Operational</x:v>
      </x:c>
      <x:c r="C30" s="23" t="str">
        <x:v>Gap type:;Gap:;Recommendation:;prior;assess;costs</x:v>
      </x:c>
      <x:c r="D30" s="23" t="str">
        <x:v>prior;assess;costs</x:v>
      </x:c>
      <x:c r="E30" s="23" t="str">
        <x:v>accountable</x:v>
      </x:c>
      <x:c r="F30" s="23" t="str">
        <x:v>days</x:v>
      </x:c>
      <x:c r="G30" s="23" t="str">
        <x:v>Acceptance test;sign-off</x:v>
      </x:c>
      <x:c r="H30" s="23" t="str">
        <x:v>must\s+Where|paragraph\s+6\s+above|paragraph\s+7\.5\s+below|paragraphs?\s+7\.9\s+to\s+7\.11(?!\s+of\s+FSCA\s+Directive\s+159)|by\s+no\s+later\s+than\s+1\s+January\s+2013</x:v>
      </x:c>
      <x:c r="I30" s="23" t="str">
        <x:v>Every field is scored independently; all checks must pass for the recommendation package to count as correct.</x:v>
      </x:c>
    </x:row>
    <x:row r="31">
      <x:c r="A31" s="23" t="str">
        <x:v>7.5.2</x:v>
      </x:c>
      <x:c r="B31" s="23" t="str">
        <x:v>Operational</x:v>
      </x:c>
      <x:c r="C31" s="23" t="str">
        <x:v>Gap type:;Gap:;Recommendation:;prior;identify;potential</x:v>
      </x:c>
      <x:c r="D31" s="23" t="str">
        <x:v>prior;identify;potential</x:v>
      </x:c>
      <x:c r="E31" s="23" t="str">
        <x:v>accountable</x:v>
      </x:c>
      <x:c r="F31" s="23" t="str">
        <x:v>days</x:v>
      </x:c>
      <x:c r="G31" s="23" t="str">
        <x:v>Acceptance test;sign-off</x:v>
      </x:c>
      <x:c r="H31" s="23" t="str">
        <x:v>must\s+Where|paragraph\s+6\s+above|paragraph\s+7\.5\s+below|paragraphs?\s+7\.9\s+to\s+7\.11(?!\s+of\s+FSCA\s+Directive\s+159)|by\s+no\s+later\s+than\s+1\s+January\s+2013</x:v>
      </x:c>
      <x:c r="I31" s="23" t="str">
        <x:v>Every field is scored independently; all checks must pass for the recommendation package to count as correct.</x:v>
      </x:c>
    </x:row>
    <x:row r="32">
      <x:c r="A32" s="23" t="str">
        <x:v>7.5.3</x:v>
      </x:c>
      <x:c r="B32" s="23" t="str">
        <x:v>Operational</x:v>
      </x:c>
      <x:c r="C32" s="23" t="str">
        <x:v>Gap type:;Gap:;Recommendation:;prior;consider;potential</x:v>
      </x:c>
      <x:c r="D32" s="23" t="str">
        <x:v>prior;consider;potential</x:v>
      </x:c>
      <x:c r="E32" s="23" t="str">
        <x:v>accountable</x:v>
      </x:c>
      <x:c r="F32" s="23" t="str">
        <x:v>days</x:v>
      </x:c>
      <x:c r="G32" s="23" t="str">
        <x:v>Acceptance test;sign-off</x:v>
      </x:c>
      <x:c r="H32" s="23" t="str">
        <x:v>must\s+Where|paragraph\s+6\s+above|paragraph\s+7\.5\s+below|paragraphs?\s+7\.9\s+to\s+7\.11(?!\s+of\s+FSCA\s+Directive\s+159)|by\s+no\s+later\s+than\s+1\s+January\s+2013</x:v>
      </x:c>
      <x:c r="I32" s="23" t="str">
        <x:v>Every field is scored independently; all checks must pass for the recommendation package to count as correct.</x:v>
      </x:c>
    </x:row>
    <x:row r="33">
      <x:c r="A33" s="23" t="str">
        <x:v>7.5.5</x:v>
      </x:c>
      <x:c r="B33" s="23" t="str">
        <x:v>Legal / Regulatory</x:v>
      </x:c>
      <x:c r="C33" s="23" t="str">
        <x:v>Gap type:;Gap:;Recommendation:;prior;assess;governance</x:v>
      </x:c>
      <x:c r="D33" s="23" t="str">
        <x:v>prior;assess;governance</x:v>
      </x:c>
      <x:c r="E33" s="23" t="str">
        <x:v>accountable</x:v>
      </x:c>
      <x:c r="F33" s="23" t="str">
        <x:v>days</x:v>
      </x:c>
      <x:c r="G33" s="23" t="str">
        <x:v>Acceptance test;sign-off</x:v>
      </x:c>
      <x:c r="H33" s="23" t="str">
        <x:v>must\s+Where|paragraph\s+6\s+above|paragraph\s+7\.5\s+below|paragraphs?\s+7\.9\s+to\s+7\.11(?!\s+of\s+FSCA\s+Directive\s+159)|by\s+no\s+later\s+than\s+1\s+January\s+2013</x:v>
      </x:c>
      <x:c r="I33" s="23" t="str">
        <x:v>Every field is scored independently; all checks must pass for the recommendation package to count as correct.</x:v>
      </x:c>
    </x:row>
    <x:row r="34">
      <x:c r="A34" s="23" t="str">
        <x:v>7.5.6</x:v>
      </x:c>
      <x:c r="B34" s="23" t="str">
        <x:v>Operational</x:v>
      </x:c>
      <x:c r="C34" s="23" t="str">
        <x:v>Gap type:;Gap:;Recommendation:;prior;assess;whether</x:v>
      </x:c>
      <x:c r="D34" s="23" t="str">
        <x:v>prior;assess;whether</x:v>
      </x:c>
      <x:c r="E34" s="23" t="str">
        <x:v>accountable</x:v>
      </x:c>
      <x:c r="F34" s="23" t="str">
        <x:v>days</x:v>
      </x:c>
      <x:c r="G34" s="23" t="str">
        <x:v>Acceptance test;sign-off</x:v>
      </x:c>
      <x:c r="H34" s="23" t="str">
        <x:v>must\s+Where|paragraph\s+6\s+above|paragraph\s+7\.5\s+below|paragraphs?\s+7\.9\s+to\s+7\.11(?!\s+of\s+FSCA\s+Directive\s+159)|by\s+no\s+later\s+than\s+1\s+January\s+2013</x:v>
      </x:c>
      <x:c r="I34" s="23" t="str">
        <x:v>Every field is scored independently; all checks must pass for the recommendation package to count as correct.</x:v>
      </x:c>
    </x:row>
    <x:row r="35">
      <x:c r="A35" s="23" t="str">
        <x:v>7.5.7</x:v>
      </x:c>
      <x:c r="B35" s="23" t="str">
        <x:v>Operational</x:v>
      </x:c>
      <x:c r="C35" s="23" t="str">
        <x:v>Gap type:;Gap:;Recommendation:;before outsourcing;management and monitoring procedures</x:v>
      </x:c>
      <x:c r="D35" s="23" t="str">
        <x:v>before outsourcing;management and monitoring procedures;FSCA Directive 159 sections 7.9 to 7.11</x:v>
      </x:c>
      <x:c r="E35" s="23" t="str">
        <x:v>accountable</x:v>
      </x:c>
      <x:c r="F35" s="23" t="str">
        <x:v>days</x:v>
      </x:c>
      <x:c r="G35" s="23" t="str">
        <x:v>Acceptance test;sign-off</x:v>
      </x:c>
      <x:c r="H35" s="23" t="str">
        <x:v>must\s+Where|paragraph\s+6\s+above|paragraph\s+7\.5\s+below|paragraphs?\s+7\.9\s+to\s+7\.11(?!\s+of\s+FSCA\s+Directive\s+159)|by\s+no\s+later\s+than\s+1\s+January\s+2013</x:v>
      </x:c>
      <x:c r="I35" s="23" t="str">
        <x:v>Every field is scored independently; all checks must pass for the recommendation package to count as correct.</x:v>
      </x:c>
    </x:row>
    <x:row r="36">
      <x:c r="A36" s="23" t="str">
        <x:v>7.5.8</x:v>
      </x:c>
      <x:c r="B36" s="23" t="str">
        <x:v>Operational</x:v>
      </x:c>
      <x:c r="C36" s="23" t="str">
        <x:v>Gap type:;Gap:;Recommendation:;pre-outsourcing contingency plan for termination or ineffectiveness</x:v>
      </x:c>
      <x:c r="D36" s="23" t="str">
        <x:v>prior to outsourcing;contingency plans;continuous functioning;terminated or ineffective</x:v>
      </x:c>
      <x:c r="E36" s="23" t="str">
        <x:v>Business Continuity Management;Outsourcing Management</x:v>
      </x:c>
      <x:c r="F36" s="23" t="str">
        <x:v>Immediate interim control;30 calendar days;next affected outsourcing decision</x:v>
      </x:c>
      <x:c r="G36" s="23" t="str">
        <x:v>tested outsourcing contingency plan;continuity exercise;test results;Business Continuity sign-off</x:v>
      </x:c>
      <x:c r="H36" s="23" t="str">
        <x:v>must\s+Where|paragraph\s+6\s+above|paragraph\s+7\.5\s+below|paragraphs?\s+7\.9\s+to\s+7\.11(?!\s+of\s+FSCA\s+Directive\s+159)|by\s+no\s+later\s+than\s+1\s+January\s+2013</x:v>
      </x:c>
      <x:c r="I36" s="23" t="str">
        <x:v>Every field is scored independently; all checks must pass for the recommendation package to count as correct.</x:v>
      </x:c>
    </x:row>
    <x:row r="37">
      <x:c r="A37" s="23" t="str">
        <x:v>7.5.9</x:v>
      </x:c>
      <x:c r="B37" s="23" t="str">
        <x:v>Governance</x:v>
      </x:c>
      <x:c r="C37" s="23" t="str">
        <x:v>Gap type:;Gap:;Recommendation:;documented approval before outsourcing</x:v>
      </x:c>
      <x:c r="D37" s="23" t="str">
        <x:v>before outsourcing;obtain and document;approval matrix;no outsourcing contract may be executed</x:v>
      </x:c>
      <x:c r="E37" s="23" t="str">
        <x:v>Outsourcing Governance Committee;Business Owner;Legal &amp; Compliance approval</x:v>
      </x:c>
      <x:c r="F37" s="23" t="str">
        <x:v>days</x:v>
      </x:c>
      <x:c r="G37" s="23" t="str">
        <x:v>approval matrix;approval checklist;dated approval record;contract-release control</x:v>
      </x:c>
      <x:c r="H37" s="23" t="str">
        <x:v>must\s+Where|paragraph\s+6\s+above|paragraph\s+7\.5\s+below|paragraphs?\s+7\.9\s+to\s+7\.11(?!\s+of\s+FSCA\s+Directive\s+159)|by\s+no\s+later\s+than\s+1\s+January\s+2013</x:v>
      </x:c>
      <x:c r="I37" s="23" t="str">
        <x:v>Every field is scored independently; all checks must pass for the recommendation package to count as correct.</x:v>
      </x:c>
    </x:row>
    <x:row r="38">
      <x:c r="A38" s="23" t="str">
        <x:v>7.6</x:v>
      </x:c>
      <x:c r="B38" s="23" t="str">
        <x:v>Legal / Contractual</x:v>
      </x:c>
      <x:c r="C38" s="23" t="str">
        <x:v>Gap type:;Gap:;Recommendation:;other;binder;governed</x:v>
      </x:c>
      <x:c r="D38" s="23" t="str">
        <x:v>other;binder;governed</x:v>
      </x:c>
      <x:c r="E38" s="23" t="str">
        <x:v>accountable</x:v>
      </x:c>
      <x:c r="F38" s="23" t="str">
        <x:v>days</x:v>
      </x:c>
      <x:c r="G38" s="23" t="str">
        <x:v>Acceptance test;sign-off</x:v>
      </x:c>
      <x:c r="H38" s="23" t="str">
        <x:v>must\s+Where|paragraph\s+6\s+above|paragraph\s+7\.5\s+below|paragraphs?\s+7\.9\s+to\s+7\.11(?!\s+of\s+FSCA\s+Directive\s+159)|by\s+no\s+later\s+than\s+1\s+January\s+2013</x:v>
      </x:c>
      <x:c r="I38" s="23" t="str">
        <x:v>Every field is scored independently; all checks must pass for the recommendation package to count as correct.</x:v>
      </x:c>
    </x:row>
    <x:row r="39">
      <x:c r="A39" s="23" t="str">
        <x:v>7.7.1</x:v>
      </x:c>
      <x:c r="B39" s="23" t="str">
        <x:v>Legal / Contractual</x:v>
      </x:c>
      <x:c r="C39" s="23" t="str">
        <x:v>Gap type:;Gap:;Recommendation:;least;specify;duration</x:v>
      </x:c>
      <x:c r="D39" s="23" t="str">
        <x:v>least;specify;duration</x:v>
      </x:c>
      <x:c r="E39" s="23" t="str">
        <x:v>Legal;accountable;responsible</x:v>
      </x:c>
      <x:c r="F39" s="23" t="str">
        <x:v>next new, renewed or amended outsourcing contract;30 calendar days</x:v>
      </x:c>
      <x:c r="G39" s="23" t="str">
        <x:v>Legal review checklist;executed contract;sign-off</x:v>
      </x:c>
      <x:c r="H39" s="23" t="str">
        <x:v>must\s+Where|paragraph\s+6\s+above|paragraph\s+7\.5\s+below|paragraphs?\s+7\.9\s+to\s+7\.11(?!\s+of\s+FSCA\s+Directive\s+159)|by\s+no\s+later\s+than\s+1\s+January\s+2013</x:v>
      </x:c>
      <x:c r="I39" s="23" t="str">
        <x:v>Every field is scored independently; all checks must pass for the recommendation package to count as correct.</x:v>
      </x:c>
    </x:row>
    <x:row r="40">
      <x:c r="A40" s="23" t="str">
        <x:v>7.7.2</x:v>
      </x:c>
      <x:c r="B40" s="23" t="str">
        <x:v>Legal / Contractual</x:v>
      </x:c>
      <x:c r="C40" s="23" t="str">
        <x:v>Gap type:;Gap:;Recommendation:;least;specify;frequency</x:v>
      </x:c>
      <x:c r="D40" s="23" t="str">
        <x:v>least;specify;frequency</x:v>
      </x:c>
      <x:c r="E40" s="23" t="str">
        <x:v>Legal;accountable;responsible</x:v>
      </x:c>
      <x:c r="F40" s="23" t="str">
        <x:v>next new, renewed or amended outsourcing contract;30 calendar days</x:v>
      </x:c>
      <x:c r="G40" s="23" t="str">
        <x:v>Legal review checklist;executed contract;sign-off</x:v>
      </x:c>
      <x:c r="H40" s="23" t="str">
        <x:v>must\s+Where|paragraph\s+6\s+above|paragraph\s+7\.5\s+below|paragraphs?\s+7\.9\s+to\s+7\.11(?!\s+of\s+FSCA\s+Directive\s+159)|by\s+no\s+later\s+than\s+1\s+January\s+2013</x:v>
      </x:c>
      <x:c r="I40" s="23" t="str">
        <x:v>Every field is scored independently; all checks must pass for the recommendation package to count as correct.</x:v>
      </x:c>
    </x:row>
    <x:row r="41">
      <x:c r="A41" s="23" t="str">
        <x:v>7.7.3</x:v>
      </x:c>
      <x:c r="B41" s="23" t="str">
        <x:v>Legal / Contractual</x:v>
      </x:c>
      <x:c r="C41" s="23" t="str">
        <x:v>Gap type:;Gap:;Recommendation:;least;specify;level</x:v>
      </x:c>
      <x:c r="D41" s="23" t="str">
        <x:v>least;specify;level</x:v>
      </x:c>
      <x:c r="E41" s="23" t="str">
        <x:v>Legal;accountable;responsible</x:v>
      </x:c>
      <x:c r="F41" s="23" t="str">
        <x:v>next new, renewed or amended outsourcing contract;30 calendar days</x:v>
      </x:c>
      <x:c r="G41" s="23" t="str">
        <x:v>Legal review checklist;executed contract;sign-off</x:v>
      </x:c>
      <x:c r="H41" s="23" t="str">
        <x:v>must\s+Where|paragraph\s+6\s+above|paragraph\s+7\.5\s+below|paragraphs?\s+7\.9\s+to\s+7\.11(?!\s+of\s+FSCA\s+Directive\s+159)|by\s+no\s+later\s+than\s+1\s+January\s+2013</x:v>
      </x:c>
      <x:c r="I41" s="23" t="str">
        <x:v>Every field is scored independently; all checks must pass for the recommendation package to count as correct.</x:v>
      </x:c>
    </x:row>
    <x:row r="42">
      <x:c r="A42" s="23" t="str">
        <x:v>7.7.4</x:v>
      </x:c>
      <x:c r="B42" s="23" t="str">
        <x:v>Legal / Contractual</x:v>
      </x:c>
      <x:c r="C42" s="23" t="str">
        <x:v>Gap type:;Gap:;Recommendation:;least;require;other</x:v>
      </x:c>
      <x:c r="D42" s="23" t="str">
        <x:v>least;require;other</x:v>
      </x:c>
      <x:c r="E42" s="23" t="str">
        <x:v>Legal;accountable;responsible</x:v>
      </x:c>
      <x:c r="F42" s="23" t="str">
        <x:v>next new, renewed or amended outsourcing contract;30 calendar days</x:v>
      </x:c>
      <x:c r="G42" s="23" t="str">
        <x:v>Legal review checklist;executed contract;sign-off</x:v>
      </x:c>
      <x:c r="H42" s="23" t="str">
        <x:v>must\s+Where|paragraph\s+6\s+above|paragraph\s+7\.5\s+below|paragraphs?\s+7\.9\s+to\s+7\.11(?!\s+of\s+FSCA\s+Directive\s+159)|by\s+no\s+later\s+than\s+1\s+January\s+2013</x:v>
      </x:c>
      <x:c r="I42" s="23" t="str">
        <x:v>Every field is scored independently; all checks must pass for the recommendation package to count as correct.</x:v>
      </x:c>
    </x:row>
    <x:row r="43">
      <x:c r="A43" s="23" t="str">
        <x:v>7.7.5</x:v>
      </x:c>
      <x:c r="B43" s="23" t="str">
        <x:v>Legal / Contractual</x:v>
      </x:c>
      <x:c r="C43" s="23" t="str">
        <x:v>Gap type:;Gap:;Recommendation:;least;require;other</x:v>
      </x:c>
      <x:c r="D43" s="23" t="str">
        <x:v>least;require;other</x:v>
      </x:c>
      <x:c r="E43" s="23" t="str">
        <x:v>Legal;accountable;responsible</x:v>
      </x:c>
      <x:c r="F43" s="23" t="str">
        <x:v>next new, renewed or amended outsourcing contract;30 calendar days</x:v>
      </x:c>
      <x:c r="G43" s="23" t="str">
        <x:v>Legal review checklist;executed contract;sign-off</x:v>
      </x:c>
      <x:c r="H43" s="23" t="str">
        <x:v>must\s+Where|paragraph\s+6\s+above|paragraph\s+7\.5\s+below|paragraphs?\s+7\.9\s+to\s+7\.11(?!\s+of\s+FSCA\s+Directive\s+159)|by\s+no\s+later\s+than\s+1\s+January\s+2013</x:v>
      </x:c>
      <x:c r="I43" s="23" t="str">
        <x:v>Every field is scored independently; all checks must pass for the recommendation package to count as correct.</x:v>
      </x:c>
    </x:row>
    <x:row r="44">
      <x:c r="A44" s="23" t="str">
        <x:v>7.7.6</x:v>
      </x:c>
      <x:c r="B44" s="23" t="str">
        <x:v>Legal / Contractual</x:v>
      </x:c>
      <x:c r="C44" s="23" t="str">
        <x:v>Gap type:;Gap:;Recommendation:;least;specify;value</x:v>
      </x:c>
      <x:c r="D44" s="23" t="str">
        <x:v>least;specify;value</x:v>
      </x:c>
      <x:c r="E44" s="23" t="str">
        <x:v>Legal;accountable;responsible</x:v>
      </x:c>
      <x:c r="F44" s="23" t="str">
        <x:v>next new, renewed or amended outsourcing contract;30 calendar days</x:v>
      </x:c>
      <x:c r="G44" s="23" t="str">
        <x:v>Legal review checklist;executed contract;sign-off</x:v>
      </x:c>
      <x:c r="H44" s="23" t="str">
        <x:v>must\s+Where|paragraph\s+6\s+above|paragraph\s+7\.5\s+below|paragraphs?\s+7\.9\s+to\s+7\.11(?!\s+of\s+FSCA\s+Directive\s+159)|by\s+no\s+later\s+than\s+1\s+January\s+2013</x:v>
      </x:c>
      <x:c r="I44" s="23" t="str">
        <x:v>Every field is scored independently; all checks must pass for the recommendation package to count as correct.</x:v>
      </x:c>
    </x:row>
    <x:row r="45">
      <x:c r="A45" s="23" t="str">
        <x:v>7.7.7</x:v>
      </x:c>
      <x:c r="B45" s="23" t="str">
        <x:v>Legal / Contractual</x:v>
      </x:c>
      <x:c r="C45" s="23" t="str">
        <x:v>Gap type:;Gap:;Recommendation:;least;provide;frequency</x:v>
      </x:c>
      <x:c r="D45" s="23" t="str">
        <x:v>least;provide;frequency</x:v>
      </x:c>
      <x:c r="E45" s="23" t="str">
        <x:v>Legal;accountable;responsible</x:v>
      </x:c>
      <x:c r="F45" s="23" t="str">
        <x:v>next new, renewed or amended outsourcing contract;30 calendar days</x:v>
      </x:c>
      <x:c r="G45" s="23" t="str">
        <x:v>Legal review checklist;executed contract;sign-off</x:v>
      </x:c>
      <x:c r="H45" s="23" t="str">
        <x:v>must\s+Where|paragraph\s+6\s+above|paragraph\s+7\.5\s+below|paragraphs?\s+7\.9\s+to\s+7\.11(?!\s+of\s+FSCA\s+Directive\s+159)|by\s+no\s+later\s+than\s+1\s+January\s+2013</x:v>
      </x:c>
      <x:c r="I45" s="23" t="str">
        <x:v>Every field is scored independently; all checks must pass for the recommendation package to count as correct.</x:v>
      </x:c>
    </x:row>
    <x:row r="46">
      <x:c r="A46" s="23" t="str">
        <x:v>7.7.8</x:v>
      </x:c>
      <x:c r="B46" s="23" t="str">
        <x:v>Legal / Contractual</x:v>
      </x:c>
      <x:c r="C46" s="23" t="str">
        <x:v>Gap type:;Gap:;Recommendation:;contractual performance and compliance monitoring method</x:v>
      </x:c>
      <x:c r="D46" s="23" t="str">
        <x:v>contract;monitor;performance;compliance;manner;means</x:v>
      </x:c>
      <x:c r="E46" s="23" t="str">
        <x:v>Legal;Procurement;Outsourcing Management</x:v>
      </x:c>
      <x:c r="F46" s="23" t="str">
        <x:v>next new, renewed or amended outsourcing contract;30 calendar days</x:v>
      </x:c>
      <x:c r="G46" s="23" t="str">
        <x:v>Legal-approved contract template;clause-level Legal review checklist;executed contract</x:v>
      </x:c>
      <x:c r="H46" s="23" t="str">
        <x:v>must\s+Where|paragraph\s+6\s+above|paragraph\s+7\.5\s+below|paragraphs?\s+7\.9\s+to\s+7\.11(?!\s+of\s+FSCA\s+Directive\s+159)|by\s+no\s+later\s+than\s+1\s+January\s+2013</x:v>
      </x:c>
      <x:c r="I46" s="23" t="str">
        <x:v>Every field is scored independently; all checks must pass for the recommendation package to count as correct.</x:v>
      </x:c>
    </x:row>
    <x:row r="47">
      <x:c r="A47" s="23" t="str">
        <x:v>7.7.9</x:v>
      </x:c>
      <x:c r="B47" s="23" t="str">
        <x:v>Legal / Contractual</x:v>
      </x:c>
      <x:c r="C47" s="23" t="str">
        <x:v>Gap type:;Gap:;Recommendation:;least;provide;periodic</x:v>
      </x:c>
      <x:c r="D47" s="23" t="str">
        <x:v>least;provide;periodic</x:v>
      </x:c>
      <x:c r="E47" s="23" t="str">
        <x:v>Legal;accountable;responsible</x:v>
      </x:c>
      <x:c r="F47" s="23" t="str">
        <x:v>next new, renewed or amended outsourcing contract;30 calendar days</x:v>
      </x:c>
      <x:c r="G47" s="23" t="str">
        <x:v>Legal review checklist;executed contract;sign-off</x:v>
      </x:c>
      <x:c r="H47" s="23" t="str">
        <x:v>must\s+Where|paragraph\s+6\s+above|paragraph\s+7\.5\s+below|paragraphs?\s+7\.9\s+to\s+7\.11(?!\s+of\s+FSCA\s+Directive\s+159)|by\s+no\s+later\s+than\s+1\s+January\s+2013</x:v>
      </x:c>
      <x:c r="I47" s="23" t="str">
        <x:v>Every field is scored independently; all checks must pass for the recommendation package to count as correct.</x:v>
      </x:c>
    </x:row>
    <x:row r="48">
      <x:c r="A48" s="23" t="str">
        <x:v>7.7.10</x:v>
      </x:c>
      <x:c r="B48" s="23" t="str">
        <x:v>Legal / Contractual</x:v>
      </x:c>
      <x:c r="C48" s="23" t="str">
        <x:v>Gap type:;Gap:;Recommendation:;continued access;information;monitor the treatment of policyholders</x:v>
      </x:c>
      <x:c r="D48" s="23" t="str">
        <x:v>continued access;information;monitor the treatment of policyholders</x:v>
      </x:c>
      <x:c r="E48" s="23" t="str">
        <x:v>Legal;Procurement;Outsourcing Management</x:v>
      </x:c>
      <x:c r="F48" s="23" t="str">
        <x:v>next new, renewed or amended outsourcing contract;30 calendar days</x:v>
      </x:c>
      <x:c r="G48" s="23" t="str">
        <x:v>regulator-access clause;provider-consent;executed amendments;access test</x:v>
      </x:c>
      <x:c r="H48" s="23" t="str">
        <x:v>must\s+Where|paragraph\s+6\s+above|paragraph\s+7\.5\s+below|paragraphs?\s+7\.9\s+to\s+7\.11(?!\s+of\s+FSCA\s+Directive\s+159)|by\s+no\s+later\s+than\s+1\s+January\s+2013</x:v>
      </x:c>
      <x:c r="I48" s="23" t="str">
        <x:v>Every field is scored independently; all checks must pass for the recommendation package to count as correct.</x:v>
      </x:c>
    </x:row>
    <x:row r="49">
      <x:c r="A49" s="23" t="str">
        <x:v>7.7.12</x:v>
      </x:c>
      <x:c r="B49" s="23" t="str">
        <x:v>Legal / Contractual</x:v>
      </x:c>
      <x:c r="C49" s="23" t="str">
        <x:v>Gap type:;Gap:;Recommendation:;least;address;sub-outsourcing</x:v>
      </x:c>
      <x:c r="D49" s="23" t="str">
        <x:v>least;address;sub-outsourcing</x:v>
      </x:c>
      <x:c r="E49" s="23" t="str">
        <x:v>Legal;accountable;responsible</x:v>
      </x:c>
      <x:c r="F49" s="23" t="str">
        <x:v>next new, renewed or amended outsourcing contract;30 calendar days</x:v>
      </x:c>
      <x:c r="G49" s="23" t="str">
        <x:v>Legal review checklist;executed contract;sign-off</x:v>
      </x:c>
      <x:c r="H49" s="23" t="str">
        <x:v>must\s+Where|paragraph\s+6\s+above|paragraph\s+7\.5\s+below|paragraphs?\s+7\.9\s+to\s+7\.11(?!\s+of\s+FSCA\s+Directive\s+159)|by\s+no\s+later\s+than\s+1\s+January\s+2013</x:v>
      </x:c>
      <x:c r="I49" s="23" t="str">
        <x:v>Every field is scored independently; all checks must pass for the recommendation package to count as correct.</x:v>
      </x:c>
    </x:row>
    <x:row r="50">
      <x:c r="A50" s="23" t="str">
        <x:v>7.7.13</x:v>
      </x:c>
      <x:c r="B50" s="23" t="str">
        <x:v>Legal / Contractual</x:v>
      </x:c>
      <x:c r="C50" s="23" t="str">
        <x:v>Gap type:;Gap:;Recommendation:;least;address;ownership</x:v>
      </x:c>
      <x:c r="D50" s="23" t="str">
        <x:v>least;address;ownership</x:v>
      </x:c>
      <x:c r="E50" s="23" t="str">
        <x:v>Legal;accountable;responsible</x:v>
      </x:c>
      <x:c r="F50" s="23" t="str">
        <x:v>next new, renewed or amended outsourcing contract;30 calendar days</x:v>
      </x:c>
      <x:c r="G50" s="23" t="str">
        <x:v>Legal review checklist;executed contract;sign-off</x:v>
      </x:c>
      <x:c r="H50" s="23" t="str">
        <x:v>must\s+Where|paragraph\s+6\s+above|paragraph\s+7\.5\s+below|paragraphs?\s+7\.9\s+to\s+7\.11(?!\s+of\s+FSCA\s+Directive\s+159)|by\s+no\s+later\s+than\s+1\s+January\s+2013</x:v>
      </x:c>
      <x:c r="I50" s="23" t="str">
        <x:v>Every field is scored independently; all checks must pass for the recommendation package to count as correct.</x:v>
      </x:c>
    </x:row>
    <x:row r="51">
      <x:c r="A51" s="23" t="str">
        <x:v>7.7.15</x:v>
      </x:c>
      <x:c r="B51" s="23" t="str">
        <x:v>Legal / Contractual</x:v>
      </x:c>
      <x:c r="C51" s="23" t="str">
        <x:v>Gap type:;Gap:;Recommendation:;FSCA;Prudential Authority;unrestricted and timely access;not subject to provider consent</x:v>
      </x:c>
      <x:c r="D51" s="23" t="str">
        <x:v>FSCA;Prudential Authority;unrestricted and timely access;not subject to provider consent</x:v>
      </x:c>
      <x:c r="E51" s="23" t="str">
        <x:v>Legal;Procurement;Outsourcing Management</x:v>
      </x:c>
      <x:c r="F51" s="23" t="str">
        <x:v>next new, renewed or amended outsourcing contract;30 calendar days</x:v>
      </x:c>
      <x:c r="G51" s="23" t="str">
        <x:v>regulator-access clause;provider-consent;executed amendments;access test</x:v>
      </x:c>
      <x:c r="H51" s="23" t="str">
        <x:v>must\s+Where|paragraph\s+6\s+above|paragraph\s+7\.5\s+below|paragraphs?\s+7\.9\s+to\s+7\.11(?!\s+of\s+FSCA\s+Directive\s+159)|by\s+no\s+later\s+than\s+1\s+January\s+2013</x:v>
      </x:c>
      <x:c r="I51" s="23" t="str">
        <x:v>Every field is scored independently; all checks must pass for the recommendation package to count as correct.</x:v>
      </x:c>
    </x:row>
    <x:row r="52">
      <x:c r="A52" s="23" t="str">
        <x:v>7.7.16</x:v>
      </x:c>
      <x:c r="B52" s="23" t="str">
        <x:v>Legal / Contractual</x:v>
      </x:c>
      <x:c r="C52" s="23" t="str">
        <x:v>Gap type:;Gap:;Recommendation:;least;specify;circumstances</x:v>
      </x:c>
      <x:c r="D52" s="23" t="str">
        <x:v>least;specify;circumstances</x:v>
      </x:c>
      <x:c r="E52" s="23" t="str">
        <x:v>Legal;accountable;responsible</x:v>
      </x:c>
      <x:c r="F52" s="23" t="str">
        <x:v>next new, renewed or amended outsourcing contract;30 calendar days</x:v>
      </x:c>
      <x:c r="G52" s="23" t="str">
        <x:v>Legal review checklist;executed contract;sign-off</x:v>
      </x:c>
      <x:c r="H52" s="23" t="str">
        <x:v>must\s+Where|paragraph\s+6\s+above|paragraph\s+7\.5\s+below|paragraphs?\s+7\.9\s+to\s+7\.11(?!\s+of\s+FSCA\s+Directive\s+159)|by\s+no\s+later\s+than\s+1\s+January\s+2013</x:v>
      </x:c>
      <x:c r="I52" s="23" t="str">
        <x:v>Every field is scored independently; all checks must pass for the recommendation package to count as correct.</x:v>
      </x:c>
    </x:row>
    <x:row r="53">
      <x:c r="A53" s="23" t="str">
        <x:v>7.7.17</x:v>
      </x:c>
      <x:c r="B53" s="23" t="str">
        <x:v>Legal / Contractual</x:v>
      </x:c>
      <x:c r="C53" s="23" t="str">
        <x:v>Gap type:;Gap:;Recommendation:;least;include;indemnity</x:v>
      </x:c>
      <x:c r="D53" s="23" t="str">
        <x:v>least;include;indemnity</x:v>
      </x:c>
      <x:c r="E53" s="23" t="str">
        <x:v>Legal;accountable;responsible</x:v>
      </x:c>
      <x:c r="F53" s="23" t="str">
        <x:v>next new, renewed or amended outsourcing contract;30 calendar days</x:v>
      </x:c>
      <x:c r="G53" s="23" t="str">
        <x:v>Legal review checklist;executed contract;sign-off</x:v>
      </x:c>
      <x:c r="H53" s="23" t="str">
        <x:v>must\s+Where|paragraph\s+6\s+above|paragraph\s+7\.5\s+below|paragraphs?\s+7\.9\s+to\s+7\.11(?!\s+of\s+FSCA\s+Directive\s+159)|by\s+no\s+later\s+than\s+1\s+January\s+2013</x:v>
      </x:c>
      <x:c r="I53" s="23" t="str">
        <x:v>Every field is scored independently; all checks must pass for the recommendation package to count as correct.</x:v>
      </x:c>
    </x:row>
    <x:row r="54">
      <x:c r="A54" s="23" t="str">
        <x:v>7.7.18</x:v>
      </x:c>
      <x:c r="B54" s="23" t="str">
        <x:v>Legal / Contractual</x:v>
      </x:c>
      <x:c r="C54" s="23" t="str">
        <x:v>Gap type:;Gap:;Recommendation:;least;warranties;guarantees</x:v>
      </x:c>
      <x:c r="D54" s="23" t="str">
        <x:v>least;warranties;guarantees</x:v>
      </x:c>
      <x:c r="E54" s="23" t="str">
        <x:v>Legal;accountable;responsible</x:v>
      </x:c>
      <x:c r="F54" s="23" t="str">
        <x:v>next new, renewed or amended outsourcing contract;30 calendar days</x:v>
      </x:c>
      <x:c r="G54" s="23" t="str">
        <x:v>Legal review checklist;executed contract;sign-off</x:v>
      </x:c>
      <x:c r="H54" s="23" t="str">
        <x:v>must\s+Where|paragraph\s+6\s+above|paragraph\s+7\.5\s+below|paragraphs?\s+7\.9\s+to\s+7\.11(?!\s+of\s+FSCA\s+Directive\s+159)|by\s+no\s+later\s+than\s+1\s+January\s+2013</x:v>
      </x:c>
      <x:c r="I54" s="23" t="str">
        <x:v>Every field is scored independently; all checks must pass for the recommendation package to count as correct.</x:v>
      </x:c>
    </x:row>
    <x:row r="55">
      <x:c r="A55" s="23" t="str">
        <x:v>7.7.19</x:v>
      </x:c>
      <x:c r="B55" s="23" t="str">
        <x:v>Legal / Contractual</x:v>
      </x:c>
      <x:c r="C55" s="23" t="str">
        <x:v>Gap type:;Gap:;Recommendation:;least;provide;dispute</x:v>
      </x:c>
      <x:c r="D55" s="23" t="str">
        <x:v>least;provide;dispute</x:v>
      </x:c>
      <x:c r="E55" s="23" t="str">
        <x:v>Legal;accountable;responsible</x:v>
      </x:c>
      <x:c r="F55" s="23" t="str">
        <x:v>next new, renewed or amended outsourcing contract;30 calendar days</x:v>
      </x:c>
      <x:c r="G55" s="23" t="str">
        <x:v>Legal review checklist;executed contract;sign-off</x:v>
      </x:c>
      <x:c r="H55" s="23" t="str">
        <x:v>must\s+Where|paragraph\s+6\s+above|paragraph\s+7\.5\s+below|paragraphs?\s+7\.9\s+to\s+7\.11(?!\s+of\s+FSCA\s+Directive\s+159)|by\s+no\s+later\s+than\s+1\s+January\s+2013</x:v>
      </x:c>
      <x:c r="I55" s="23" t="str">
        <x:v>Every field is scored independently; all checks must pass for the recommendation package to count as correct.</x:v>
      </x:c>
    </x:row>
    <x:row r="56">
      <x:c r="A56" s="23" t="str">
        <x:v>7.7.20</x:v>
      </x:c>
      <x:c r="B56" s="23" t="str">
        <x:v>Legal / Contractual</x:v>
      </x:c>
      <x:c r="C56" s="23" t="str">
        <x:v>Gap type:;Gap:;Recommendation:;least;provide;reasonable</x:v>
      </x:c>
      <x:c r="D56" s="23" t="str">
        <x:v>least;provide;reasonable</x:v>
      </x:c>
      <x:c r="E56" s="23" t="str">
        <x:v>Legal;accountable;responsible</x:v>
      </x:c>
      <x:c r="F56" s="23" t="str">
        <x:v>next new, renewed or amended outsourcing contract;30 calendar days</x:v>
      </x:c>
      <x:c r="G56" s="23" t="str">
        <x:v>Legal review checklist;executed contract;sign-off</x:v>
      </x:c>
      <x:c r="H56" s="23" t="str">
        <x:v>must\s+Where|paragraph\s+6\s+above|paragraph\s+7\.5\s+below|paragraphs?\s+7\.9\s+to\s+7\.11(?!\s+of\s+FSCA\s+Directive\s+159)|by\s+no\s+later\s+than\s+1\s+January\s+2013</x:v>
      </x:c>
      <x:c r="I56" s="23" t="str">
        <x:v>Every field is scored independently; all checks must pass for the recommendation package to count as correct.</x:v>
      </x:c>
    </x:row>
    <x:row r="57">
      <x:c r="A57" s="23" t="str">
        <x:v>7.8</x:v>
      </x:c>
      <x:c r="B57" s="23" t="str">
        <x:v>Legal / Contractual</x:v>
      </x:c>
      <x:c r="C57" s="23" t="str">
        <x:v>Gap type:;Gap:;Recommendation:;sub-outsourcing compliance with Directive 159 sections 7.6 and 7.7</x:v>
      </x:c>
      <x:c r="D57" s="23" t="str">
        <x:v>service provider;sub-outsource;FSCA Directive 159 sections 7.6 and 7.7</x:v>
      </x:c>
      <x:c r="E57" s="23" t="str">
        <x:v>Legal;Procurement;Outsourcing Management</x:v>
      </x:c>
      <x:c r="F57" s="23" t="str">
        <x:v>next new, renewed or amended outsourcing contract;30 calendar days</x:v>
      </x:c>
      <x:c r="G57" s="23" t="str">
        <x:v>Legal-approved contract template;clause-level Legal review checklist;executed contract</x:v>
      </x:c>
      <x:c r="H57" s="23" t="str">
        <x:v>must\s+Where|paragraph\s+6\s+above|paragraph\s+7\.5\s+below|paragraphs?\s+7\.9\s+to\s+7\.11(?!\s+of\s+FSCA\s+Directive\s+159)|by\s+no\s+later\s+than\s+1\s+January\s+2013</x:v>
      </x:c>
      <x:c r="I57" s="23" t="str">
        <x:v>Every field is scored independently; all checks must pass for the recommendation package to count as correct.</x:v>
      </x:c>
    </x:row>
    <x:row r="58">
      <x:c r="A58" s="23" t="str">
        <x:v>7.9</x:v>
      </x:c>
      <x:c r="B58" s="23" t="str">
        <x:v>Operational</x:v>
      </x:c>
      <x:c r="C58" s="23" t="str">
        <x:v>Gap type:;Gap:;Recommendation:;ensure;risks;associated</x:v>
      </x:c>
      <x:c r="D58" s="23" t="str">
        <x:v>ensure;risks;associated</x:v>
      </x:c>
      <x:c r="E58" s="23" t="str">
        <x:v>accountable</x:v>
      </x:c>
      <x:c r="F58" s="23" t="str">
        <x:v>days</x:v>
      </x:c>
      <x:c r="G58" s="23" t="str">
        <x:v>Acceptance test;sign-off</x:v>
      </x:c>
      <x:c r="H58" s="23" t="str">
        <x:v>must\s+Where|paragraph\s+6\s+above|paragraph\s+7\.5\s+below|paragraphs?\s+7\.9\s+to\s+7\.11(?!\s+of\s+FSCA\s+Directive\s+159)|by\s+no\s+later\s+than\s+1\s+January\s+2013</x:v>
      </x:c>
      <x:c r="I58" s="23" t="str">
        <x:v>Every field is scored independently; all checks must pass for the recommendation package to count as correct.</x:v>
      </x:c>
    </x:row>
    <x:row r="59">
      <x:c r="A59" s="23" t="str">
        <x:v>7.10</x:v>
      </x:c>
      <x:c r="B59" s="23" t="str">
        <x:v>Operational</x:v>
      </x:c>
      <x:c r="C59" s="23" t="str">
        <x:v>Gap type:;Gap:;Recommendation:;ensure;level;standard</x:v>
      </x:c>
      <x:c r="D59" s="23" t="str">
        <x:v>ensure;level;standard</x:v>
      </x:c>
      <x:c r="E59" s="23" t="str">
        <x:v>accountable</x:v>
      </x:c>
      <x:c r="F59" s="23" t="str">
        <x:v>days</x:v>
      </x:c>
      <x:c r="G59" s="23" t="str">
        <x:v>Acceptance test;sign-off</x:v>
      </x:c>
      <x:c r="H59" s="23" t="str">
        <x:v>must\s+Where|paragraph\s+6\s+above|paragraph\s+7\.5\s+below|paragraphs?\s+7\.9\s+to\s+7\.11(?!\s+of\s+FSCA\s+Directive\s+159)|by\s+no\s+later\s+than\s+1\s+January\s+2013</x:v>
      </x:c>
      <x:c r="I59" s="23" t="str">
        <x:v>Every field is scored independently; all checks must pass for the recommendation package to count as correct.</x:v>
      </x:c>
    </x:row>
    <x:row r="60">
      <x:c r="A60" s="23" t="str">
        <x:v>7.11.1</x:v>
      </x:c>
      <x:c r="B60" s="23" t="str">
        <x:v>Governance</x:v>
      </x:c>
      <x:c r="C60" s="23" t="str">
        <x:v>Gap type:;Gap:;Recommendation:;regularly;assess;other</x:v>
      </x:c>
      <x:c r="D60" s="23" t="str">
        <x:v>regularly;assess;other</x:v>
      </x:c>
      <x:c r="E60" s="23" t="str">
        <x:v>accountable</x:v>
      </x:c>
      <x:c r="F60" s="23" t="str">
        <x:v>days</x:v>
      </x:c>
      <x:c r="G60" s="23" t="str">
        <x:v>Acceptance test;sign-off</x:v>
      </x:c>
      <x:c r="H60" s="23" t="str">
        <x:v>must\s+Where|paragraph\s+6\s+above|paragraph\s+7\.5\s+below|paragraphs?\s+7\.9\s+to\s+7\.11(?!\s+of\s+FSCA\s+Directive\s+159)|by\s+no\s+later\s+than\s+1\s+January\s+2013</x:v>
      </x:c>
      <x:c r="I60" s="23" t="str">
        <x:v>Every field is scored independently; all checks must pass for the recommendation package to count as correct.</x:v>
      </x:c>
    </x:row>
    <x:row r="61">
      <x:c r="A61" s="23" t="str">
        <x:v>7.11.2</x:v>
      </x:c>
      <x:c r="B61" s="23" t="str">
        <x:v>Legal / Regulatory</x:v>
      </x:c>
      <x:c r="C61" s="23" t="str">
        <x:v>Gap type:;Gap:;Recommendation:;regular assessment of provider compliance with applicable laws</x:v>
      </x:c>
      <x:c r="D61" s="23" t="str">
        <x:v>regularly assess;applicable laws</x:v>
      </x:c>
      <x:c r="E61" s="23" t="str">
        <x:v>Legal &amp; Compliance;Regulatory Compliance</x:v>
      </x:c>
      <x:c r="F61" s="23" t="str">
        <x:v>days</x:v>
      </x:c>
      <x:c r="G61" s="23" t="str">
        <x:v>provider legal-compliance assessment procedure;applicable-laws assessment;remediation log</x:v>
      </x:c>
      <x:c r="H61" s="23" t="str">
        <x:v>must\s+Where|paragraph\s+6\s+above|paragraph\s+7\.5\s+below|paragraphs?\s+7\.9\s+to\s+7\.11(?!\s+of\s+FSCA\s+Directive\s+159)|by\s+no\s+later\s+than\s+1\s+January\s+2013</x:v>
      </x:c>
      <x:c r="I61" s="23" t="str">
        <x:v>Every field is scored independently; all checks must pass for the recommendation package to count as correct.</x:v>
      </x:c>
    </x:row>
    <x:row r="62">
      <x:c r="A62" s="23" t="str">
        <x:v>7.11.3</x:v>
      </x:c>
      <x:c r="B62" s="23" t="str">
        <x:v>Operational</x:v>
      </x:c>
      <x:c r="C62" s="23" t="str">
        <x:v>Gap type:;Gap:;Recommendation:;regularly;assess;other</x:v>
      </x:c>
      <x:c r="D62" s="23" t="str">
        <x:v>regularly;assess;other</x:v>
      </x:c>
      <x:c r="E62" s="23" t="str">
        <x:v>accountable</x:v>
      </x:c>
      <x:c r="F62" s="23" t="str">
        <x:v>days</x:v>
      </x:c>
      <x:c r="G62" s="23" t="str">
        <x:v>Acceptance test;sign-off</x:v>
      </x:c>
      <x:c r="H62" s="23" t="str">
        <x:v>must\s+Where|paragraph\s+6\s+above|paragraph\s+7\.5\s+below|paragraphs?\s+7\.9\s+to\s+7\.11(?!\s+of\s+FSCA\s+Directive\s+159)|by\s+no\s+later\s+than\s+1\s+January\s+2013</x:v>
      </x:c>
      <x:c r="I62" s="23" t="str">
        <x:v>Every field is scored independently; all checks must pass for the recommendation package to count as correct.</x:v>
      </x:c>
    </x:row>
    <x:row r="63">
      <x:c r="A63" s="23" t="str">
        <x:v>8.1.1</x:v>
      </x:c>
      <x:c r="B63" s="23" t="str">
        <x:v>Legal / Regulatory</x:v>
      </x:c>
      <x:c r="C63" s="23" t="str">
        <x:v>Gap type:;Gap:;Recommendation:;one month before;effective date;notify;South African regulator</x:v>
      </x:c>
      <x:c r="D63" s="23" t="str">
        <x:v>one month before;effective date;notify;South African regulator</x:v>
      </x:c>
      <x:c r="E63" s="23" t="str">
        <x:v>Regulatory Compliance;Operations;Outsourcing Management</x:v>
      </x:c>
      <x:c r="F63" s="23" t="str">
        <x:v>notification checklist;15 business days;next regulator notification</x:v>
      </x:c>
      <x:c r="G63" s="23" t="str">
        <x:v>one-month;effective dates;submission timestamps;late-notice;regulator receipt</x:v>
      </x:c>
      <x:c r="H63" s="23" t="str">
        <x:v>must\s+Where|paragraph\s+6\s+above|paragraph\s+7\.5\s+below|paragraphs?\s+7\.9\s+to\s+7\.11(?!\s+of\s+FSCA\s+Directive\s+159)|by\s+no\s+later\s+than\s+1\s+January\s+2013</x:v>
      </x:c>
      <x:c r="I63" s="23" t="str">
        <x:v>Every field is scored independently; all checks must pass for the recommendation package to count as correct.</x:v>
      </x:c>
    </x:row>
    <x:row r="64">
      <x:c r="A64" s="23" t="str">
        <x:v>8.1.2</x:v>
      </x:c>
      <x:c r="B64" s="23" t="str">
        <x:v>Legal / Regulatory</x:v>
      </x:c>
      <x:c r="C64" s="23" t="str">
        <x:v>Gap type:;Gap:;Recommendation:;one month before;effective date;identify;service provider</x:v>
      </x:c>
      <x:c r="D64" s="23" t="str">
        <x:v>one month before;effective date;identify;service provider</x:v>
      </x:c>
      <x:c r="E64" s="23" t="str">
        <x:v>Regulatory Compliance;Operations;Outsourcing Management</x:v>
      </x:c>
      <x:c r="F64" s="23" t="str">
        <x:v>notification checklist;15 business days;next regulator notification</x:v>
      </x:c>
      <x:c r="G64" s="23" t="str">
        <x:v>provider identity and details;one-month;effective dates;submission timestamps;late-notice;regulator receipt</x:v>
      </x:c>
      <x:c r="H64" s="23" t="str">
        <x:v>must\s+Where|paragraph\s+6\s+above|paragraph\s+7\.5\s+below|paragraphs?\s+7\.9\s+to\s+7\.11(?!\s+of\s+FSCA\s+Directive\s+159)|by\s+no\s+later\s+than\s+1\s+January\s+2013</x:v>
      </x:c>
      <x:c r="I64" s="23" t="str">
        <x:v>Every field is scored independently; all checks must pass for the recommendation package to count as correct.</x:v>
      </x:c>
    </x:row>
    <x:row r="65">
      <x:c r="A65" s="23" t="str">
        <x:v>8.1.3</x:v>
      </x:c>
      <x:c r="B65" s="23" t="str">
        <x:v>Legal / Regulatory</x:v>
      </x:c>
      <x:c r="C65" s="23" t="str">
        <x:v>Gap type:;Gap:;Recommendation:;one month before;effective date;key risks;mitigation strategies</x:v>
      </x:c>
      <x:c r="D65" s="23" t="str">
        <x:v>one month before;effective date;key risks;mitigation strategies</x:v>
      </x:c>
      <x:c r="E65" s="23" t="str">
        <x:v>Regulatory Compliance;Operations;Outsourcing Management</x:v>
      </x:c>
      <x:c r="F65" s="23" t="str">
        <x:v>notification checklist;15 business days;next regulator notification</x:v>
      </x:c>
      <x:c r="G65" s="23" t="str">
        <x:v>key risks and mitigation strategies;one-month;effective dates;submission timestamps;late-notice;regulator receipt</x:v>
      </x:c>
      <x:c r="H65" s="23" t="str">
        <x:v>must\s+Where|paragraph\s+6\s+above|paragraph\s+7\.5\s+below|paragraphs?\s+7\.9\s+to\s+7\.11(?!\s+of\s+FSCA\s+Directive\s+159)|by\s+no\s+later\s+than\s+1\s+January\s+2013</x:v>
      </x:c>
      <x:c r="I65" s="23" t="str">
        <x:v>Every field is scored independently; all checks must pass for the recommendation package to count as correct.</x:v>
      </x:c>
    </x:row>
    <x:row r="66">
      <x:c r="A66" s="23" t="str">
        <x:v>9.1</x:v>
      </x:c>
      <x:c r="B66" s="23" t="str">
        <x:v>Legal / Regulatory</x:v>
      </x:c>
      <x:c r="C66" s="23" t="str">
        <x:v>Gap type:;Gap:;Recommendation:;after;which;directive</x:v>
      </x:c>
      <x:c r="D66" s="23" t="str">
        <x:v>after;which;directive</x:v>
      </x:c>
      <x:c r="E66" s="23" t="str">
        <x:v>accountable</x:v>
      </x:c>
      <x:c r="F66" s="23" t="str">
        <x:v>days</x:v>
      </x:c>
      <x:c r="G66" s="23" t="str">
        <x:v>Acceptance test;sign-off</x:v>
      </x:c>
      <x:c r="H66" s="23" t="str">
        <x:v>must\s+Where|paragraph\s+6\s+above|paragraph\s+7\.5\s+below|paragraphs?\s+7\.9\s+to\s+7\.11(?!\s+of\s+FSCA\s+Directive\s+159)|by\s+no\s+later\s+than\s+1\s+January\s+2013</x:v>
      </x:c>
      <x:c r="I66" s="23" t="str">
        <x:v>Every field is scored independently; all checks must pass for the recommendation package to count as correct.</x:v>
      </x:c>
    </x:row>
    <x:row r="67">
      <x:c r="A67" s="23" t="str">
        <x:v>9.2</x:v>
      </x:c>
      <x:c r="B67" s="23" t="str">
        <x:v>Legal / Regulatory</x:v>
      </x:c>
      <x:c r="C67" s="23" t="str">
        <x:v>Gap type:;Gap:;Recommendation:;legacy-contract review;historical exception;extended;renewed;amended</x:v>
      </x:c>
      <x:c r="D67" s="23" t="str">
        <x:v>legacy South African outsourcing arrangements;extended;renewed;amended;Legal and Compliance</x:v>
      </x:c>
      <x:c r="E67" s="23" t="str">
        <x:v>Legal &amp; Compliance;Contract Management;Outsourcing Management</x:v>
      </x:c>
      <x:c r="F67" s="23" t="str">
        <x:v>Immediate Legal review;5 business days;30 calendar days</x:v>
      </x:c>
      <x:c r="G67" s="23" t="str">
        <x:v>legacy-contract register;trigger-event review;historical-exception log;remediation decisions</x:v>
      </x:c>
      <x:c r="H67" s="23" t="str">
        <x:v>must\s+Where|paragraph\s+6\s+above|paragraph\s+7\.5\s+below|paragraphs?\s+7\.9\s+to\s+7\.11(?!\s+of\s+FSCA\s+Directive\s+159)|by\s+no\s+later\s+than\s+1\s+January\s+2013</x:v>
      </x:c>
      <x:c r="I67" s="23" t="str">
        <x:v>Every field is scored independently; all checks must pass for the recommendation package to count as correct.</x:v>
      </x:c>
    </x:row>
  </x:sheetData>
  <x:pageMargins left="0.7" right="0.7" top="0.75" bottom="0.75" header="0.3" footer="0.3"/>
</x:worksheet>
</file>